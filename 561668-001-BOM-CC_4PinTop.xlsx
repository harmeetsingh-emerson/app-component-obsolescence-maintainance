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mponentObs\"/>
    </mc:Choice>
  </mc:AlternateContent>
  <xr:revisionPtr revIDLastSave="0" documentId="13_ncr:1_{D7EB03A6-FAA6-4380-ADC4-A671F24DC9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 Report" sheetId="1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G10" i="1"/>
  <c r="F10" i="1"/>
</calcChain>
</file>

<file path=xl/sharedStrings.xml><?xml version="1.0" encoding="utf-8"?>
<sst xmlns="http://schemas.openxmlformats.org/spreadsheetml/2006/main" count="547" uniqueCount="367">
  <si>
    <t>Creation Date:</t>
  </si>
  <si>
    <t>Print Date:</t>
  </si>
  <si>
    <t xml:space="preserve"> </t>
  </si>
  <si>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</si>
  <si>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</si>
  <si>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</si>
  <si>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</si>
  <si>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</si>
  <si>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</si>
  <si>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</si>
  <si>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</si>
  <si>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</si>
  <si>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</si>
  <si>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</si>
  <si>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</si>
  <si>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</si>
  <si>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</si>
  <si>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</si>
  <si>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</si>
  <si>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Project:</t>
  </si>
  <si>
    <t>Reference Document</t>
  </si>
  <si>
    <t>Revision</t>
  </si>
  <si>
    <t>Schematic:</t>
  </si>
  <si>
    <t xml:space="preserve">Bill of Materials - </t>
  </si>
  <si>
    <t>PCB:</t>
  </si>
  <si>
    <t>PCB Assembly:</t>
  </si>
  <si>
    <t>BOM Revision</t>
  </si>
  <si>
    <t xml:space="preserve">Note : </t>
  </si>
  <si>
    <t>(*) X = Components from different manufacturers may be used for the marked positions</t>
  </si>
  <si>
    <t>UOM = Unit of measurement ( if blank it is NOS/piece)</t>
  </si>
  <si>
    <t>For non Electronics parts refer Datasheets or Drawing PDF. PDF file named according to Part number of that component.</t>
  </si>
  <si>
    <t>Output Info</t>
  </si>
  <si>
    <t>IND.</t>
  </si>
  <si>
    <t>Schematic Info</t>
  </si>
  <si>
    <t>Change / ECN no</t>
  </si>
  <si>
    <t>YYYYMMDD</t>
  </si>
  <si>
    <t>DEPT.</t>
  </si>
  <si>
    <t>Change Info</t>
  </si>
  <si>
    <t>Drawn</t>
  </si>
  <si>
    <t>Checked</t>
  </si>
  <si>
    <t>Released</t>
  </si>
  <si>
    <t>LZS</t>
  </si>
  <si>
    <t>Project Title</t>
  </si>
  <si>
    <t>Project Number</t>
  </si>
  <si>
    <t>Schematic Doc No.</t>
  </si>
  <si>
    <t>Assembly Doc No.</t>
  </si>
  <si>
    <t>Fabrication Doc No.</t>
  </si>
  <si>
    <t xml:space="preserve">           These must correspond to the technical data specified in the component document .</t>
  </si>
  <si>
    <t>Y to EOL</t>
  </si>
  <si>
    <t>Line #</t>
  </si>
  <si>
    <t>Preferred PCB Man.</t>
  </si>
  <si>
    <t>NPD-100761</t>
  </si>
  <si>
    <t>561668-001.BomDoc</t>
  </si>
  <si>
    <t>561669-4Pin.PrjPCB</t>
  </si>
  <si>
    <t>None</t>
  </si>
  <si>
    <t>CC</t>
  </si>
  <si>
    <t>G3 EtherNet/IP/Modbus TCP 4Pin TOP PCB</t>
  </si>
  <si>
    <t>&lt;Parameter Preferred_PCB_Man not found&gt;</t>
  </si>
  <si>
    <t>11/26/2024</t>
  </si>
  <si>
    <t>12:06 PM</t>
  </si>
  <si>
    <t>NOVI MI</t>
  </si>
  <si>
    <t>48337 USA</t>
  </si>
  <si>
    <t>561668</t>
  </si>
  <si>
    <t>561669</t>
  </si>
  <si>
    <t>LibRef</t>
  </si>
  <si>
    <t>CMP-001-1943-3</t>
  </si>
  <si>
    <t>CMP-001-1586-6</t>
  </si>
  <si>
    <t>CMP-001-1614-4</t>
  </si>
  <si>
    <t>CMP-001-0786-16</t>
  </si>
  <si>
    <t>CMP-001-0374-19</t>
  </si>
  <si>
    <t>CMP-001-1183-10</t>
  </si>
  <si>
    <t>CMP-001-1002-10</t>
  </si>
  <si>
    <t>CMP-001-2276-2</t>
  </si>
  <si>
    <t>CMP-001-1102-4</t>
  </si>
  <si>
    <t>CMP-001-1589-3</t>
  </si>
  <si>
    <t>CMP-001-1679-4</t>
  </si>
  <si>
    <t>CMP-005-0408-19</t>
  </si>
  <si>
    <t>CMP-001-1610-4</t>
  </si>
  <si>
    <t>CMP-001-1412-5</t>
  </si>
  <si>
    <t>CMP-001-2257-5</t>
  </si>
  <si>
    <t>CMP-001-1292-3</t>
  </si>
  <si>
    <t>CMP-001-2250-7</t>
  </si>
  <si>
    <t>CMP-001-1411-5</t>
  </si>
  <si>
    <t>CMP-001-1611-3</t>
  </si>
  <si>
    <t>CMP-005-0683-7</t>
  </si>
  <si>
    <t>CMP-001-2102-3</t>
  </si>
  <si>
    <t>CMP-005-0596-8</t>
  </si>
  <si>
    <t>CMP-005-0719-2</t>
  </si>
  <si>
    <t>CMP-001-1604-11</t>
  </si>
  <si>
    <t>CMP-001-1603-7</t>
  </si>
  <si>
    <t>CMP-005-0125-23</t>
  </si>
  <si>
    <t>CMP-005-0110-36</t>
  </si>
  <si>
    <t>CMP-001-0804-17</t>
  </si>
  <si>
    <t>CMP-001-1608-3</t>
  </si>
  <si>
    <t>CMP-001-2319-3</t>
  </si>
  <si>
    <t>CMP-005-0111-24</t>
  </si>
  <si>
    <t>CMP-001-1518-3</t>
  </si>
  <si>
    <t>CMP-004-0223-24</t>
  </si>
  <si>
    <t>CMP-001-2490-4</t>
  </si>
  <si>
    <t>CMP-001-2128-3</t>
  </si>
  <si>
    <t>PART NUMBER</t>
  </si>
  <si>
    <t>563969-472</t>
  </si>
  <si>
    <t>556112-224</t>
  </si>
  <si>
    <t>560330-222</t>
  </si>
  <si>
    <t>556126-104</t>
  </si>
  <si>
    <t>555897-221</t>
  </si>
  <si>
    <t>556126-103</t>
  </si>
  <si>
    <t>560324-105</t>
  </si>
  <si>
    <t>568313-001</t>
  </si>
  <si>
    <t>557845-001</t>
  </si>
  <si>
    <t>560326-033</t>
  </si>
  <si>
    <t>561776-001</t>
  </si>
  <si>
    <t>560333-001</t>
  </si>
  <si>
    <t>560332-002</t>
  </si>
  <si>
    <t>560332-001</t>
  </si>
  <si>
    <t>565437-001</t>
  </si>
  <si>
    <t>558186-500</t>
  </si>
  <si>
    <t>565391-152</t>
  </si>
  <si>
    <t>560325-002</t>
  </si>
  <si>
    <t>560325-020</t>
  </si>
  <si>
    <t>560335-001</t>
  </si>
  <si>
    <t>560336-001</t>
  </si>
  <si>
    <t>529287-001</t>
  </si>
  <si>
    <t>561669-001</t>
  </si>
  <si>
    <t>560338-001</t>
  </si>
  <si>
    <t>556150-2701</t>
  </si>
  <si>
    <t>556150-1003</t>
  </si>
  <si>
    <t>556150-1001</t>
  </si>
  <si>
    <t>556150-3300</t>
  </si>
  <si>
    <t>509938-1004</t>
  </si>
  <si>
    <t>568155-0750</t>
  </si>
  <si>
    <t>556150-1002</t>
  </si>
  <si>
    <t>561908-0000</t>
  </si>
  <si>
    <t>557080-0000</t>
  </si>
  <si>
    <t>572979-001</t>
  </si>
  <si>
    <t>570633-001</t>
  </si>
  <si>
    <t>Designator</t>
  </si>
  <si>
    <t>C1, C4, C16, C17, C19, C20</t>
  </si>
  <si>
    <t>C2, C3, C7</t>
  </si>
  <si>
    <t>C5, C6</t>
  </si>
  <si>
    <t>C9, C13, C15</t>
  </si>
  <si>
    <t>C10</t>
  </si>
  <si>
    <t>C11, C18</t>
  </si>
  <si>
    <t>C12, C14</t>
  </si>
  <si>
    <t>C21</t>
  </si>
  <si>
    <t>D1</t>
  </si>
  <si>
    <t>D2, D4, D11, D12</t>
  </si>
  <si>
    <t>D3</t>
  </si>
  <si>
    <t>D5</t>
  </si>
  <si>
    <t>D6, D9</t>
  </si>
  <si>
    <t>D7, D8, D10</t>
  </si>
  <si>
    <t>D13, D14</t>
  </si>
  <si>
    <t>F1</t>
  </si>
  <si>
    <t>FB1</t>
  </si>
  <si>
    <t>H1, H2</t>
  </si>
  <si>
    <t>H3</t>
  </si>
  <si>
    <t>H4, H5</t>
  </si>
  <si>
    <t>H9-1, H9-2, H9-3, H9-4</t>
  </si>
  <si>
    <t>LCD1</t>
  </si>
  <si>
    <t>PCB1</t>
  </si>
  <si>
    <t>Q1</t>
  </si>
  <si>
    <t>R3</t>
  </si>
  <si>
    <t>R4</t>
  </si>
  <si>
    <t>R5</t>
  </si>
  <si>
    <t>R6, R7, R8, R9, R10, R11, R12, R13, R14, R15</t>
  </si>
  <si>
    <t>R16, R17</t>
  </si>
  <si>
    <t>R19, R20</t>
  </si>
  <si>
    <t>R22, R23</t>
  </si>
  <si>
    <t>R70</t>
  </si>
  <si>
    <t>R71</t>
  </si>
  <si>
    <t>SW1, SW2</t>
  </si>
  <si>
    <t>T1</t>
  </si>
  <si>
    <t>Description</t>
  </si>
  <si>
    <t>Cap; Ceramic; 4.7nF; 250V; X7R; 10%; 1812</t>
  </si>
  <si>
    <t>Cap; Ceramic; 0.22uF; 100V; X7R; 10%; 1206</t>
  </si>
  <si>
    <t>Cap; Ceramic; 0.0022uF; 2000V; X7R; 10%; 1812</t>
  </si>
  <si>
    <t>Cap; Ceramic; 0.1uF; 50V; X7R; 10%; 0603</t>
  </si>
  <si>
    <t>Cap; Ceramic; 220pF; 50V; C0G/NP0; 5%; 0603</t>
  </si>
  <si>
    <t>Cap; Ceramic; 0.01uF; 50V; X7R; 10%; 0603</t>
  </si>
  <si>
    <t>Cap; Ceramic; 1uF; 16V; X7R; 10%; 0805</t>
  </si>
  <si>
    <t>Cap; Film; 0.047uF; 310V; 10%; 13.0 X 4.5 X 9.5mm Radial</t>
  </si>
  <si>
    <t>Rectifier Diode; Schottky; 40V; 5A; DO-214AC (SMA)</t>
  </si>
  <si>
    <t>TVS Diode; Single Bi-Dir; 28.2V; 1KW; DO-214AA (SMB)</t>
  </si>
  <si>
    <t>Rectifier Diode; Schottky; 45V; 7.5A; D2PAK (TO-263AB)</t>
  </si>
  <si>
    <t>Rectifier Diode; Small Signal Switching; 75V; 0.3A; 4ns; SOT-23-3</t>
  </si>
  <si>
    <t>LED; Bi-Color; Green/Yellow; 565nm/586nm; 3.2 X 2.8 X 1.9mm (4-SMD)</t>
  </si>
  <si>
    <t>LED; Bi-Color; Green/Red; 572nm/643nm; 3.2 X 2.8 X 1.9mm (4-SMD)</t>
  </si>
  <si>
    <t>TVS Diode; Array Uni-Dir; 3.6V; 170W; SOT-23-5</t>
  </si>
  <si>
    <t>Fuse; PTC Resettable; 5A(hold); 10A(trip); 32V; 100A; 5.3W; 9s; 40mOhm; 14 X 3.8 X 24.1mm Radial</t>
  </si>
  <si>
    <t>Ferrite Bead; Multi-Layer; 1.5KOhm; 25%; 100MHz; 0.5A; 0.5Ohm; 0603</t>
  </si>
  <si>
    <t>Conn; Board Stacker; 4 POS; 2.54mm; ST Top Entry; Thru-Hole</t>
  </si>
  <si>
    <t>Conn; Board Stacker; 40 POS; 2.54mm; ST Top Entry; Thru-Hole</t>
  </si>
  <si>
    <t>Conn; M12 Circular; 4 POS; ST Top Entry; Thru-Hole</t>
  </si>
  <si>
    <t>Test Point; 3.6mm Diameter, 24mm Height</t>
  </si>
  <si>
    <t>Graphic Module FSTN Transmissive; 27.5 X 18.0 X 7.0mm (10-TH)</t>
  </si>
  <si>
    <t>G3 Ethernet/IP COM Module Top (4 PIN) PCB</t>
  </si>
  <si>
    <t>Trans BJT; NPN; 40V; 600mA; 350mW; SOT-23-3</t>
  </si>
  <si>
    <t>Res; 2.7k Ohm; 1%; 100mW; 0603</t>
  </si>
  <si>
    <t>Res; 100K Ohm; 1%; 0.1W; 0603</t>
  </si>
  <si>
    <t>Res; 1K Ohm; 1%; 0.1W; 0603</t>
  </si>
  <si>
    <t>Res; 330 Ohm; 1%; 0.1W; 0603</t>
  </si>
  <si>
    <t>Res; 1M Ohm; 1%; 0.25W; 1206</t>
  </si>
  <si>
    <t>Res; 75 Ohm; 0.1%; 0.25W; 1206</t>
  </si>
  <si>
    <t>Res; 10K Ohm; 1%; 0.1W; 0603</t>
  </si>
  <si>
    <t>Res; 0 Ohm; 0.25W; 1206</t>
  </si>
  <si>
    <t>Res; 0 Ohm; 0%; 0.1W; 0603</t>
  </si>
  <si>
    <t>Switch Tactile; SPST; Rectangular Button J-Bend; 0.05A; 12VDC; 0.1Ohm; 6 X 3.5 X 4.3mm (2-TH)</t>
  </si>
  <si>
    <t>Common Mode Choke; Dual; 770uH; 4.56kOhm; 10kHz; 4.7A; 0.04Ohm; 19.56 X 17.02 X 9.91mm (4-SMD)</t>
  </si>
  <si>
    <t>Quantity</t>
  </si>
  <si>
    <t>Case/Package</t>
  </si>
  <si>
    <t>13.0 X 4.5 X 9.5mm Radial</t>
  </si>
  <si>
    <t>DO-214AC (SMA)</t>
  </si>
  <si>
    <t>DO-214AA (SMB)</t>
  </si>
  <si>
    <t>D2PAK (TO-263AB)</t>
  </si>
  <si>
    <t>SOT-23-3</t>
  </si>
  <si>
    <t>3.2 X 2.8 X 1.9mm (4-SMD)</t>
  </si>
  <si>
    <t>SOT-23-5</t>
  </si>
  <si>
    <t>14 X 3.8 X 24.1mm Radial</t>
  </si>
  <si>
    <t>27.5 X 18 X 7mm (10-TH)</t>
  </si>
  <si>
    <t>6 X 3.5 X 4.3mm (2-TH)</t>
  </si>
  <si>
    <t>19.56 X 17.02 X 9.91mm (4-SMD)</t>
  </si>
  <si>
    <t>Manufacturer 1</t>
  </si>
  <si>
    <t>KEMET Corporation</t>
  </si>
  <si>
    <t>Yageo</t>
  </si>
  <si>
    <t>TDK</t>
  </si>
  <si>
    <t>KYOCERA AVX Components Corporation</t>
  </si>
  <si>
    <t>Wuerth Elektronik GmbH &amp; Co. KG</t>
  </si>
  <si>
    <t>Comchip Technology</t>
  </si>
  <si>
    <t>Littelfuse</t>
  </si>
  <si>
    <t>STMicroelectronics</t>
  </si>
  <si>
    <t>Diodes Incorporated</t>
  </si>
  <si>
    <t>Dialight</t>
  </si>
  <si>
    <t>Texas Instruments</t>
  </si>
  <si>
    <t>Murata Manufacturing</t>
  </si>
  <si>
    <t>Samtec</t>
  </si>
  <si>
    <t>PHOENIX CONTACT</t>
  </si>
  <si>
    <t>Mencom Corporation</t>
  </si>
  <si>
    <t>LXD Research &amp; Display, LLC</t>
  </si>
  <si>
    <t>Panasonic</t>
  </si>
  <si>
    <t>Coilcraft</t>
  </si>
  <si>
    <t>Manufacturer Part Number 1</t>
  </si>
  <si>
    <t>CAS18C472KARGC</t>
  </si>
  <si>
    <t>C1206X224K1RACTU</t>
  </si>
  <si>
    <t>C1812C222KGRACTU</t>
  </si>
  <si>
    <t>CC0603KRX7R9BB104</t>
  </si>
  <si>
    <t>CGA3E2NP01H221J080AA</t>
  </si>
  <si>
    <t>CC0603KRX7R9BB103</t>
  </si>
  <si>
    <t>0805YC105KAT2A</t>
  </si>
  <si>
    <t>SS54-HF</t>
  </si>
  <si>
    <t>1KSMB33CA</t>
  </si>
  <si>
    <t>STPS745G-TR</t>
  </si>
  <si>
    <t>BAV99-13-F</t>
  </si>
  <si>
    <t>597-7721-207F</t>
  </si>
  <si>
    <t>597-7701-207F</t>
  </si>
  <si>
    <t>ESDS314DBVR</t>
  </si>
  <si>
    <t>AHEF500</t>
  </si>
  <si>
    <t>BLM18HE152SH1D</t>
  </si>
  <si>
    <t>ZW-02-10-G-D-400-093</t>
  </si>
  <si>
    <t>ZW-20-10-G-D-400-093</t>
  </si>
  <si>
    <t>89-120380</t>
  </si>
  <si>
    <t>M4363B</t>
  </si>
  <si>
    <t>MMBT2222A-7-F</t>
  </si>
  <si>
    <t>RC0603FR-072K7L</t>
  </si>
  <si>
    <t>RC0603FR-07100KL</t>
  </si>
  <si>
    <t>RC0603FR-071KL</t>
  </si>
  <si>
    <t>RC0603FR-07330RL</t>
  </si>
  <si>
    <t>RC1206FR-071ML</t>
  </si>
  <si>
    <t>RT1206BRD0775RL</t>
  </si>
  <si>
    <t>RC0603FR-0710KL</t>
  </si>
  <si>
    <t>RC1206JR-070RL</t>
  </si>
  <si>
    <t>ERJ3GEY0R00V</t>
  </si>
  <si>
    <t>EVQPE105K</t>
  </si>
  <si>
    <t>CH4659-ALD</t>
  </si>
  <si>
    <t>RoHS</t>
  </si>
  <si>
    <t>Yes</t>
  </si>
  <si>
    <t>Max Operating Temperature</t>
  </si>
  <si>
    <t>125°C</t>
  </si>
  <si>
    <t>150°C</t>
  </si>
  <si>
    <t>105°C</t>
  </si>
  <si>
    <t>175°C</t>
  </si>
  <si>
    <t>100°C</t>
  </si>
  <si>
    <t>85°C</t>
  </si>
  <si>
    <t>155°C</t>
  </si>
  <si>
    <t>Min Operating Temperature</t>
  </si>
  <si>
    <t>-55°C</t>
  </si>
  <si>
    <t>-40°C</t>
  </si>
  <si>
    <t>-65°C</t>
  </si>
  <si>
    <t>-25°C</t>
  </si>
  <si>
    <t>-20°C</t>
  </si>
  <si>
    <t>-30°C</t>
  </si>
  <si>
    <t>MANUFACTURER 2</t>
  </si>
  <si>
    <t>Taiwan Semiconductor</t>
  </si>
  <si>
    <t>onsemi</t>
  </si>
  <si>
    <t>Venkel</t>
  </si>
  <si>
    <t>Stackpole Electronics, Inc</t>
  </si>
  <si>
    <t>Bourns</t>
  </si>
  <si>
    <t>Walsin Technology</t>
  </si>
  <si>
    <t>MANUFACTURER PART NUMBER 2</t>
  </si>
  <si>
    <t>CC1812KKX7RBBB472</t>
  </si>
  <si>
    <t>CC1206KKX7R0BB224</t>
  </si>
  <si>
    <t>CC1812KKX7RDBB222</t>
  </si>
  <si>
    <t>06035C104KAT2A</t>
  </si>
  <si>
    <t>CC0603JRNPO9BN221</t>
  </si>
  <si>
    <t>06035C103KAT2A</t>
  </si>
  <si>
    <t>C0805C105K4RACTU</t>
  </si>
  <si>
    <t>1KSMB33CAHR5G</t>
  </si>
  <si>
    <t>MBRB1545CTT4G</t>
  </si>
  <si>
    <t>FBC0603-152P</t>
  </si>
  <si>
    <t>BSR14</t>
  </si>
  <si>
    <t>RMEF0603FT2K70</t>
  </si>
  <si>
    <t>CR0603-FX-1003ELF</t>
  </si>
  <si>
    <t>CR0603-FX-1001ELF</t>
  </si>
  <si>
    <t>RMEF0603FT330R</t>
  </si>
  <si>
    <t>RMEF1206FT1M00</t>
  </si>
  <si>
    <t>WF12R75R0BTL</t>
  </si>
  <si>
    <t>CR0603-FX-1002ELF</t>
  </si>
  <si>
    <t>RMEF0603ZT0R00</t>
  </si>
  <si>
    <t>MANUFACTURER 3</t>
  </si>
  <si>
    <t>Pulse Electronics</t>
  </si>
  <si>
    <t>MANUFACTURER PART NUMBER 3</t>
  </si>
  <si>
    <t>GA343DR7GD472KW01L</t>
  </si>
  <si>
    <t>1206B224K101CT</t>
  </si>
  <si>
    <t>GR443QR73D222KW01L</t>
  </si>
  <si>
    <t>0603N221J500CT</t>
  </si>
  <si>
    <t>CC0603KPX7R9BB103</t>
  </si>
  <si>
    <t>CC0805KKX7R7BB105</t>
  </si>
  <si>
    <t>MBRS1545CT</t>
  </si>
  <si>
    <t>BBPY00160808122Y00</t>
  </si>
  <si>
    <t>RMEF0603FT100K</t>
  </si>
  <si>
    <t>RMEF0603FT1K00</t>
  </si>
  <si>
    <t>WF06Q3300FTL</t>
  </si>
  <si>
    <t>WR12X1004FTR</t>
  </si>
  <si>
    <t>RMEF0603FT10K0</t>
  </si>
  <si>
    <t>WR06X000 PTLJ</t>
  </si>
  <si>
    <t>MANUFACTURER 4</t>
  </si>
  <si>
    <t>MANUFACTURER PART NUMBER 4</t>
  </si>
  <si>
    <t>GCM31MR72A224KA37L</t>
  </si>
  <si>
    <t>0603B104K500CT</t>
  </si>
  <si>
    <t>GCM1885C1H221JA16D</t>
  </si>
  <si>
    <t>0603B103K500CT</t>
  </si>
  <si>
    <t>0805B105K160CT</t>
  </si>
  <si>
    <t>WR06X1003FTL</t>
  </si>
  <si>
    <t>WF06Q1001FTL</t>
  </si>
  <si>
    <t>WR06X1002FQR</t>
  </si>
  <si>
    <t>RC0603JR-070RL</t>
  </si>
  <si>
    <t>D:\Akshay\FLMC US\Novi\561669-G3 Profinet S2 Top 4Pin\PCB\561669-4Pin.PrjPCB</t>
  </si>
  <si>
    <t>D:\Akshay\FLMC US\Novi\561669-G3 Profinet S2 Top 4Pin\PCB\561668-001.BomDoc</t>
  </si>
  <si>
    <t>Bill of Materials for BOM Document [561668-001.BomDoc]</t>
  </si>
  <si>
    <t>72</t>
  </si>
  <si>
    <t>11/26/2024 12:06 PM</t>
  </si>
  <si>
    <t>Bill of Materials</t>
  </si>
  <si>
    <t>BomReport</t>
  </si>
  <si>
    <t>BOM</t>
  </si>
  <si>
    <t>AA</t>
  </si>
  <si>
    <t>Initial</t>
  </si>
  <si>
    <t>20230105</t>
  </si>
  <si>
    <t>A.Rodge</t>
  </si>
  <si>
    <t>G.Wells</t>
  </si>
  <si>
    <t/>
  </si>
  <si>
    <t>BA</t>
  </si>
  <si>
    <t>ECN 335975</t>
  </si>
  <si>
    <t>20230628</t>
  </si>
  <si>
    <t>EMI/EMC Changes</t>
  </si>
  <si>
    <t>CA</t>
  </si>
  <si>
    <t>ECN</t>
  </si>
  <si>
    <t>20230731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</si>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</sst>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theme="4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6" borderId="1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6" fillId="3" borderId="2" xfId="0" applyFont="1" applyFill="1" applyBorder="1"/>
    <xf numFmtId="0" fontId="6" fillId="6" borderId="3" xfId="0" applyFont="1" applyFill="1" applyBorder="1"/>
    <xf numFmtId="0" fontId="6" fillId="0" borderId="0" xfId="0" applyFont="1" applyAlignment="1">
      <alignment vertical="top"/>
    </xf>
    <xf numFmtId="0" fontId="6" fillId="6" borderId="4" xfId="0" applyFont="1" applyFill="1" applyBorder="1" applyAlignment="1">
      <alignment vertical="top"/>
    </xf>
    <xf numFmtId="0" fontId="6" fillId="0" borderId="0" xfId="0" applyFont="1"/>
    <xf numFmtId="0" fontId="6" fillId="6" borderId="3" xfId="0" applyFont="1" applyFill="1" applyBorder="1" applyAlignment="1">
      <alignment vertical="top"/>
    </xf>
    <xf numFmtId="0" fontId="7" fillId="0" borderId="0" xfId="0" applyFont="1"/>
    <xf numFmtId="14" fontId="6" fillId="6" borderId="3" xfId="0" applyNumberFormat="1" applyFont="1" applyFill="1" applyBorder="1"/>
    <xf numFmtId="0" fontId="8" fillId="6" borderId="4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6" borderId="4" xfId="0" applyFont="1" applyFill="1" applyBorder="1"/>
    <xf numFmtId="0" fontId="6" fillId="6" borderId="0" xfId="0" applyFont="1" applyFill="1"/>
    <xf numFmtId="0" fontId="8" fillId="0" borderId="0" xfId="0" applyFont="1" applyAlignment="1" applyProtection="1">
      <alignment vertical="top"/>
      <protection locked="0"/>
    </xf>
    <xf numFmtId="0" fontId="6" fillId="6" borderId="3" xfId="0" applyFont="1" applyFill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/>
      <protection locked="0"/>
    </xf>
    <xf numFmtId="0" fontId="6" fillId="6" borderId="3" xfId="0" applyFont="1" applyFill="1" applyBorder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9" fillId="6" borderId="0" xfId="0" applyFont="1" applyFill="1" applyAlignment="1" applyProtection="1">
      <alignment vertical="top" wrapText="1"/>
      <protection locked="0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9" fillId="2" borderId="0" xfId="0" applyFont="1" applyFill="1" applyAlignment="1" applyProtection="1">
      <alignment vertical="top" wrapText="1"/>
      <protection locked="0"/>
    </xf>
    <xf numFmtId="0" fontId="6" fillId="6" borderId="6" xfId="0" applyFont="1" applyFill="1" applyBorder="1"/>
    <xf numFmtId="0" fontId="6" fillId="6" borderId="7" xfId="0" applyFont="1" applyFill="1" applyBorder="1"/>
    <xf numFmtId="0" fontId="6" fillId="2" borderId="7" xfId="0" applyFont="1" applyFill="1" applyBorder="1" applyAlignment="1" applyProtection="1">
      <alignment vertical="top" wrapText="1"/>
      <protection locked="0"/>
    </xf>
    <xf numFmtId="0" fontId="6" fillId="2" borderId="7" xfId="0" applyFont="1" applyFill="1" applyBorder="1" applyAlignment="1" applyProtection="1">
      <alignment horizontal="left" vertical="top" wrapText="1"/>
      <protection locked="0"/>
    </xf>
    <xf numFmtId="0" fontId="9" fillId="2" borderId="7" xfId="0" applyFont="1" applyFill="1" applyBorder="1" applyAlignment="1" applyProtection="1">
      <alignment vertical="top" wrapText="1"/>
      <protection locked="0"/>
    </xf>
    <xf numFmtId="0" fontId="6" fillId="6" borderId="8" xfId="0" applyFont="1" applyFill="1" applyBorder="1" applyProtection="1">
      <protection locked="0"/>
    </xf>
    <xf numFmtId="0" fontId="6" fillId="0" borderId="0" xfId="0" applyFont="1" applyAlignment="1">
      <alignment horizontal="left" vertical="top"/>
    </xf>
    <xf numFmtId="49" fontId="6" fillId="4" borderId="0" xfId="0" applyNumberFormat="1" applyFont="1" applyFill="1"/>
    <xf numFmtId="0" fontId="10" fillId="0" borderId="0" xfId="0" applyFont="1" applyAlignment="1" applyProtection="1">
      <alignment horizontal="left"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164" fontId="10" fillId="0" borderId="9" xfId="0" applyNumberFormat="1" applyFont="1" applyBorder="1" applyAlignment="1">
      <alignment horizontal="left" vertical="center"/>
    </xf>
    <xf numFmtId="165" fontId="10" fillId="0" borderId="9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vertical="center"/>
    </xf>
    <xf numFmtId="0" fontId="6" fillId="0" borderId="10" xfId="0" applyFont="1" applyBorder="1"/>
    <xf numFmtId="0" fontId="6" fillId="0" borderId="14" xfId="0" applyFont="1" applyBorder="1" applyAlignment="1" applyProtection="1">
      <alignment horizontal="left" vertical="top"/>
      <protection locked="0"/>
    </xf>
    <xf numFmtId="0" fontId="6" fillId="0" borderId="15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16" xfId="0" applyFont="1" applyBorder="1"/>
    <xf numFmtId="0" fontId="6" fillId="3" borderId="2" xfId="0" applyFont="1" applyFill="1" applyBorder="1" applyAlignment="1">
      <alignment horizontal="left"/>
    </xf>
    <xf numFmtId="0" fontId="6" fillId="6" borderId="17" xfId="0" applyFont="1" applyFill="1" applyBorder="1" applyAlignment="1">
      <alignment vertical="top"/>
    </xf>
    <xf numFmtId="0" fontId="8" fillId="6" borderId="17" xfId="0" applyFont="1" applyFill="1" applyBorder="1" applyAlignment="1">
      <alignment vertical="center"/>
    </xf>
    <xf numFmtId="0" fontId="6" fillId="6" borderId="17" xfId="0" applyFont="1" applyFill="1" applyBorder="1"/>
    <xf numFmtId="0" fontId="6" fillId="0" borderId="18" xfId="0" applyFont="1" applyBorder="1" applyAlignment="1" applyProtection="1">
      <alignment vertical="top"/>
      <protection locked="0"/>
    </xf>
    <xf numFmtId="0" fontId="6" fillId="0" borderId="18" xfId="0" applyFont="1" applyBorder="1" applyAlignment="1" applyProtection="1">
      <alignment horizontal="left" vertical="top"/>
      <protection locked="0"/>
    </xf>
    <xf numFmtId="0" fontId="6" fillId="3" borderId="19" xfId="0" applyFont="1" applyFill="1" applyBorder="1"/>
    <xf numFmtId="0" fontId="12" fillId="3" borderId="19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left"/>
    </xf>
    <xf numFmtId="0" fontId="10" fillId="0" borderId="18" xfId="0" applyFont="1" applyBorder="1" applyAlignment="1">
      <alignment vertical="center"/>
    </xf>
    <xf numFmtId="0" fontId="11" fillId="0" borderId="21" xfId="0" applyFont="1" applyBorder="1" applyAlignment="1">
      <alignment horizontal="left" vertical="center" wrapText="1"/>
    </xf>
    <xf numFmtId="1" fontId="11" fillId="0" borderId="21" xfId="0" applyNumberFormat="1" applyFont="1" applyBorder="1" applyAlignment="1">
      <alignment horizontal="left" vertical="center" wrapText="1"/>
    </xf>
    <xf numFmtId="0" fontId="4" fillId="0" borderId="0" xfId="0" applyFont="1"/>
    <xf numFmtId="0" fontId="2" fillId="7" borderId="21" xfId="0" applyFont="1" applyFill="1" applyBorder="1" applyAlignment="1">
      <alignment horizontal="left"/>
    </xf>
    <xf numFmtId="0" fontId="5" fillId="8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10" fillId="5" borderId="21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0" xfId="0" quotePrefix="1" applyFont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10" xfId="0" quotePrefix="1" applyFont="1" applyBorder="1" applyAlignment="1">
      <alignment horizontal="left" vertical="center"/>
    </xf>
    <xf numFmtId="0" fontId="13" fillId="0" borderId="0" xfId="0" quotePrefix="1" applyFont="1" applyAlignment="1">
      <alignment horizontal="center" vertical="center"/>
    </xf>
    <xf numFmtId="0" fontId="11" fillId="0" borderId="26" xfId="0" quotePrefix="1" applyFont="1" applyBorder="1" applyAlignment="1">
      <alignment horizontal="left"/>
    </xf>
    <xf numFmtId="0" fontId="11" fillId="0" borderId="13" xfId="0" quotePrefix="1" applyFont="1" applyBorder="1" applyAlignment="1">
      <alignment horizontal="left" vertical="center"/>
    </xf>
    <xf numFmtId="0" fontId="11" fillId="0" borderId="12" xfId="0" quotePrefix="1" applyFont="1" applyBorder="1" applyAlignment="1">
      <alignment horizontal="left" vertical="center"/>
    </xf>
    <xf numFmtId="0" fontId="11" fillId="0" borderId="23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/>
    </xf>
    <xf numFmtId="0" fontId="4" fillId="0" borderId="21" xfId="0" quotePrefix="1" applyFont="1" applyBorder="1"/>
    <xf numFmtId="0" fontId="1" fillId="0" borderId="21" xfId="0" quotePrefix="1" applyFont="1" applyBorder="1" applyAlignment="1">
      <alignment horizontal="left"/>
    </xf>
    <xf numFmtId="0" fontId="11" fillId="9" borderId="21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4" fillId="0" borderId="0" xfId="0" quotePrefix="1" applyFont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0" fillId="3" borderId="21" xfId="0" quotePrefix="1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5" borderId="21" xfId="0" quotePrefix="1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2" fillId="3" borderId="2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5" borderId="21" xfId="0" applyFont="1" applyFill="1" applyBorder="1" applyAlignment="1">
      <alignment vertical="center"/>
    </xf>
    <xf numFmtId="0" fontId="11" fillId="9" borderId="2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825500</xdr:colOff>
      <xdr:row>2</xdr:row>
      <xdr:rowOff>158750</xdr:rowOff>
    </xdr:from>
    <xdr:to>
      <xdr:col>13</xdr:col>
      <xdr:colOff>190500</xdr:colOff>
      <xdr:row>8</xdr:row>
      <xdr:rowOff>19050</xdr:rowOff>
    </xdr:to>
    <xdr:pic>
      <xdr:nvPicPr>
        <xdr:cNvPr id="1181" name="Picture 1">
          <a:extLst>
            <a:ext uri="{FF2B5EF4-FFF2-40B4-BE49-F238E27FC236}">
              <a16:creationId xmlns:a16="http://schemas.microsoft.com/office/drawing/2014/main" id="{DB65BF32-8F89-43A8-F28E-7EB3F36B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09750" y="806450"/>
          <a:ext cx="3333750" cy="123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showGridLines="0" tabSelected="1" topLeftCell="A32" zoomScale="85" zoomScaleNormal="85" workbookViewId="0">
      <selection activeCell="E51" sqref="E51"/>
    </sheetView>
  </sheetViews>
  <sheetFormatPr defaultColWidth="9.109375" defaultRowHeight="13.8" x14ac:dyDescent="0.25"/>
  <cols>
    <col min="1" max="2" width="5" style="7" customWidth="1"/>
    <col min="3" max="3" width="15.6640625" style="7" customWidth="1"/>
    <col min="4" max="4" width="21.33203125" style="7" customWidth="1"/>
    <col min="5" max="5" width="20.44140625" style="7" bestFit="1" customWidth="1"/>
    <col min="6" max="6" width="45.88671875" style="32" customWidth="1"/>
    <col min="7" max="7" width="22.44140625" style="32" bestFit="1" customWidth="1"/>
    <col min="8" max="8" width="17.88671875" style="7" bestFit="1" customWidth="1"/>
    <col min="9" max="9" width="20.5546875" style="7" bestFit="1" customWidth="1"/>
    <col min="10" max="12" width="21.6640625" style="7" customWidth="1"/>
    <col min="13" max="15" width="13.5546875" style="7" customWidth="1"/>
    <col min="16" max="21" width="21.6640625" style="7" customWidth="1"/>
    <col min="22" max="22" width="3.109375" style="7" customWidth="1"/>
    <col min="23" max="16384" width="9.109375" style="7"/>
  </cols>
  <sheetData>
    <row r="1" spans="1:22" ht="14.4" thickBot="1" x14ac:dyDescent="0.35">
      <c r="A1" s="3"/>
      <c r="B1" s="4"/>
      <c r="C1" s="4"/>
      <c r="D1" s="5"/>
      <c r="E1" s="5"/>
      <c r="F1" s="52"/>
      <c r="G1" s="60"/>
      <c r="H1" s="6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spans="1:22" ht="37.5" customHeight="1" thickTop="1" thickBot="1" x14ac:dyDescent="0.65">
      <c r="A2" s="8"/>
      <c r="B2" s="53"/>
      <c r="C2" s="75"/>
      <c r="D2" s="93" t="s">
        <v>23</v>
      </c>
      <c r="E2" s="93"/>
      <c r="F2" s="93"/>
      <c r="G2" s="91" t="s">
        <v>51</v>
      </c>
      <c r="H2" s="92"/>
      <c r="I2" s="59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6"/>
    </row>
    <row r="3" spans="1:22" ht="23.25" customHeight="1" thickTop="1" x14ac:dyDescent="0.3">
      <c r="A3" s="8"/>
      <c r="B3" s="53"/>
      <c r="C3" s="37"/>
      <c r="D3" s="37" t="s">
        <v>3</v>
      </c>
      <c r="E3" s="37"/>
      <c r="F3" s="77" t="s">
        <v>52</v>
      </c>
      <c r="G3" s="3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17.25" customHeight="1" x14ac:dyDescent="0.3">
      <c r="A4" s="8"/>
      <c r="B4" s="53"/>
      <c r="C4" s="37"/>
      <c r="D4" s="37" t="s">
        <v>19</v>
      </c>
      <c r="E4" s="37"/>
      <c r="F4" s="78" t="s">
        <v>53</v>
      </c>
      <c r="G4" s="3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22" ht="17.25" customHeight="1" x14ac:dyDescent="0.3">
      <c r="A5" s="8"/>
      <c r="B5" s="53"/>
      <c r="C5" s="37"/>
      <c r="D5" s="37" t="s">
        <v>4</v>
      </c>
      <c r="E5" s="37"/>
      <c r="F5" s="79" t="s">
        <v>54</v>
      </c>
      <c r="G5" s="4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</row>
    <row r="6" spans="1:22" ht="17.25" customHeight="1" x14ac:dyDescent="0.3">
      <c r="A6" s="8"/>
      <c r="B6" s="53"/>
      <c r="C6" s="37"/>
      <c r="D6" s="37" t="s">
        <v>26</v>
      </c>
      <c r="E6" s="37"/>
      <c r="F6" s="79" t="s">
        <v>55</v>
      </c>
      <c r="G6" s="4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</row>
    <row r="7" spans="1:22" ht="17.25" customHeight="1" x14ac:dyDescent="0.3">
      <c r="A7" s="8"/>
      <c r="B7" s="53"/>
      <c r="C7" s="37"/>
      <c r="D7" s="37"/>
      <c r="E7" s="37"/>
      <c r="F7" s="79" t="s">
        <v>56</v>
      </c>
      <c r="G7" s="4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</row>
    <row r="8" spans="1:22" ht="17.25" customHeight="1" x14ac:dyDescent="0.3">
      <c r="A8" s="8"/>
      <c r="B8" s="53"/>
      <c r="C8" s="37"/>
      <c r="D8" s="37" t="s">
        <v>50</v>
      </c>
      <c r="E8" s="37"/>
      <c r="F8" s="39" t="s">
        <v>57</v>
      </c>
      <c r="G8" s="4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</row>
    <row r="9" spans="1:22" ht="15.75" customHeight="1" x14ac:dyDescent="0.3">
      <c r="A9" s="8"/>
      <c r="B9" s="53"/>
      <c r="C9" s="37"/>
      <c r="D9" s="37" t="s">
        <v>0</v>
      </c>
      <c r="E9" s="37"/>
      <c r="F9" s="79" t="s">
        <v>58</v>
      </c>
      <c r="G9" s="79" t="s">
        <v>59</v>
      </c>
      <c r="H9" s="11"/>
      <c r="I9" s="1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2"/>
    </row>
    <row r="10" spans="1:22" ht="15.75" customHeight="1" x14ac:dyDescent="0.3">
      <c r="A10" s="8"/>
      <c r="B10" s="53"/>
      <c r="C10" s="37"/>
      <c r="D10" s="37" t="s">
        <v>1</v>
      </c>
      <c r="E10" s="37"/>
      <c r="F10" s="41">
        <f ca="1">TODAY()</f>
        <v>45821</v>
      </c>
      <c r="G10" s="42">
        <f ca="1">NOW()</f>
        <v>45821.043892476853</v>
      </c>
      <c r="H10" s="11"/>
      <c r="I10" s="11"/>
      <c r="J10" s="9"/>
      <c r="K10" s="9"/>
      <c r="L10" s="80" t="s">
        <v>60</v>
      </c>
      <c r="M10" s="9"/>
      <c r="N10" s="9"/>
      <c r="O10" s="9"/>
      <c r="V10" s="12"/>
    </row>
    <row r="11" spans="1:22" ht="15.75" customHeight="1" thickBot="1" x14ac:dyDescent="0.35">
      <c r="A11" s="8"/>
      <c r="B11" s="53"/>
      <c r="C11" s="37"/>
      <c r="D11" s="46"/>
      <c r="E11" s="46"/>
      <c r="F11" s="43"/>
      <c r="G11" s="43"/>
      <c r="H11" s="11"/>
      <c r="I11" s="11"/>
      <c r="J11" s="9"/>
      <c r="K11" s="9"/>
      <c r="L11" s="80" t="s">
        <v>61</v>
      </c>
      <c r="M11" s="9"/>
      <c r="N11" s="9"/>
      <c r="O11" s="9"/>
      <c r="V11" s="6"/>
    </row>
    <row r="12" spans="1:22" ht="15.75" customHeight="1" thickBot="1" x14ac:dyDescent="0.35">
      <c r="A12" s="8"/>
      <c r="B12" s="53"/>
      <c r="C12" s="37"/>
      <c r="D12" s="46"/>
      <c r="E12" s="46"/>
      <c r="F12" s="44" t="s">
        <v>20</v>
      </c>
      <c r="G12" s="44" t="s">
        <v>21</v>
      </c>
      <c r="H12" s="11"/>
      <c r="I12" s="1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6"/>
    </row>
    <row r="13" spans="1:22" ht="15.75" customHeight="1" x14ac:dyDescent="0.3">
      <c r="A13" s="8"/>
      <c r="B13" s="53"/>
      <c r="C13" s="37"/>
      <c r="D13" s="22"/>
      <c r="E13" s="36" t="s">
        <v>22</v>
      </c>
      <c r="F13" s="81" t="s">
        <v>62</v>
      </c>
      <c r="G13" s="82" t="s">
        <v>55</v>
      </c>
      <c r="H13" s="11"/>
      <c r="I13" s="1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6"/>
    </row>
    <row r="14" spans="1:22" ht="15.75" customHeight="1" x14ac:dyDescent="0.3">
      <c r="A14" s="8"/>
      <c r="B14" s="53"/>
      <c r="C14" s="37"/>
      <c r="D14" s="22"/>
      <c r="E14" s="36" t="s">
        <v>25</v>
      </c>
      <c r="F14" s="83" t="s">
        <v>62</v>
      </c>
      <c r="G14" s="83" t="s">
        <v>55</v>
      </c>
      <c r="H14" s="11"/>
      <c r="I14" s="11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6"/>
    </row>
    <row r="15" spans="1:22" ht="15.75" customHeight="1" thickBot="1" x14ac:dyDescent="0.35">
      <c r="A15" s="8"/>
      <c r="B15" s="53"/>
      <c r="C15" s="37"/>
      <c r="D15" s="22"/>
      <c r="E15" s="36" t="s">
        <v>24</v>
      </c>
      <c r="F15" s="84" t="s">
        <v>63</v>
      </c>
      <c r="G15" s="84" t="s">
        <v>55</v>
      </c>
      <c r="H15" s="11"/>
      <c r="I15" s="1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/>
    </row>
    <row r="16" spans="1:22" s="15" customFormat="1" ht="39.9" customHeight="1" x14ac:dyDescent="0.25">
      <c r="A16" s="13"/>
      <c r="B16" s="54"/>
      <c r="C16" s="73" t="s">
        <v>49</v>
      </c>
      <c r="D16" s="70" t="s">
        <v>64</v>
      </c>
      <c r="E16" s="70" t="s">
        <v>100</v>
      </c>
      <c r="F16" s="72" t="s">
        <v>136</v>
      </c>
      <c r="G16" s="72" t="s">
        <v>172</v>
      </c>
      <c r="H16" s="70" t="s">
        <v>208</v>
      </c>
      <c r="I16" s="70" t="s">
        <v>209</v>
      </c>
      <c r="J16" s="69" t="s">
        <v>221</v>
      </c>
      <c r="K16" s="69" t="s">
        <v>240</v>
      </c>
      <c r="L16" s="69" t="s">
        <v>273</v>
      </c>
      <c r="M16" s="69" t="s">
        <v>48</v>
      </c>
      <c r="N16" s="69" t="s">
        <v>275</v>
      </c>
      <c r="O16" s="69" t="s">
        <v>283</v>
      </c>
      <c r="P16" s="69" t="s">
        <v>290</v>
      </c>
      <c r="Q16" s="69" t="s">
        <v>297</v>
      </c>
      <c r="R16" s="69" t="s">
        <v>317</v>
      </c>
      <c r="S16" s="69" t="s">
        <v>319</v>
      </c>
      <c r="T16" s="69" t="s">
        <v>334</v>
      </c>
      <c r="U16" s="69" t="s">
        <v>335</v>
      </c>
      <c r="V16" s="14"/>
    </row>
    <row r="17" spans="1:22" ht="28.8" x14ac:dyDescent="0.25">
      <c r="A17" s="8"/>
      <c r="B17" s="53"/>
      <c r="C17" s="74">
        <f t="shared" ref="C17:C51" si="0">ROW()-16</f>
        <v>1</v>
      </c>
      <c r="D17" s="71" t="s">
        <v>65</v>
      </c>
      <c r="E17" s="88" t="s">
        <v>101</v>
      </c>
      <c r="F17" s="62" t="s">
        <v>137</v>
      </c>
      <c r="G17" s="62" t="s">
        <v>173</v>
      </c>
      <c r="H17" s="63">
        <v>6</v>
      </c>
      <c r="I17" s="63">
        <v>1812</v>
      </c>
      <c r="J17" s="62" t="s">
        <v>222</v>
      </c>
      <c r="K17" s="62" t="s">
        <v>241</v>
      </c>
      <c r="L17" s="62" t="s">
        <v>274</v>
      </c>
      <c r="M17" s="62"/>
      <c r="N17" s="62" t="s">
        <v>276</v>
      </c>
      <c r="O17" s="62" t="s">
        <v>284</v>
      </c>
      <c r="P17" s="62" t="s">
        <v>223</v>
      </c>
      <c r="Q17" s="62" t="s">
        <v>298</v>
      </c>
      <c r="R17" s="62" t="s">
        <v>233</v>
      </c>
      <c r="S17" s="62" t="s">
        <v>320</v>
      </c>
      <c r="T17" s="62"/>
      <c r="U17" s="62"/>
      <c r="V17" s="10"/>
    </row>
    <row r="18" spans="1:22" ht="28.8" x14ac:dyDescent="0.25">
      <c r="A18" s="8"/>
      <c r="B18" s="53"/>
      <c r="C18" s="74">
        <f t="shared" si="0"/>
        <v>2</v>
      </c>
      <c r="D18" s="71" t="s">
        <v>66</v>
      </c>
      <c r="E18" s="102" t="s">
        <v>102</v>
      </c>
      <c r="F18" s="62" t="s">
        <v>138</v>
      </c>
      <c r="G18" s="62" t="s">
        <v>174</v>
      </c>
      <c r="H18" s="63">
        <v>3</v>
      </c>
      <c r="I18" s="63">
        <v>1206</v>
      </c>
      <c r="J18" s="62" t="s">
        <v>222</v>
      </c>
      <c r="K18" s="62" t="s">
        <v>242</v>
      </c>
      <c r="L18" s="62" t="s">
        <v>274</v>
      </c>
      <c r="M18" s="62"/>
      <c r="N18" s="62" t="s">
        <v>276</v>
      </c>
      <c r="O18" s="62" t="s">
        <v>284</v>
      </c>
      <c r="P18" s="62" t="s">
        <v>223</v>
      </c>
      <c r="Q18" s="62" t="s">
        <v>299</v>
      </c>
      <c r="R18" s="62" t="s">
        <v>296</v>
      </c>
      <c r="S18" s="62" t="s">
        <v>321</v>
      </c>
      <c r="T18" s="62" t="s">
        <v>233</v>
      </c>
      <c r="U18" s="62" t="s">
        <v>336</v>
      </c>
      <c r="V18" s="10"/>
    </row>
    <row r="19" spans="1:22" ht="28.8" x14ac:dyDescent="0.25">
      <c r="A19" s="8"/>
      <c r="B19" s="53"/>
      <c r="C19" s="74">
        <f t="shared" si="0"/>
        <v>3</v>
      </c>
      <c r="D19" s="71" t="s">
        <v>67</v>
      </c>
      <c r="E19" s="88" t="s">
        <v>103</v>
      </c>
      <c r="F19" s="62" t="s">
        <v>139</v>
      </c>
      <c r="G19" s="62" t="s">
        <v>175</v>
      </c>
      <c r="H19" s="63">
        <v>2</v>
      </c>
      <c r="I19" s="63">
        <v>1812</v>
      </c>
      <c r="J19" s="62" t="s">
        <v>222</v>
      </c>
      <c r="K19" s="62" t="s">
        <v>243</v>
      </c>
      <c r="L19" s="62" t="s">
        <v>274</v>
      </c>
      <c r="M19" s="62"/>
      <c r="N19" s="62" t="s">
        <v>276</v>
      </c>
      <c r="O19" s="62" t="s">
        <v>284</v>
      </c>
      <c r="P19" s="62" t="s">
        <v>223</v>
      </c>
      <c r="Q19" s="62" t="s">
        <v>300</v>
      </c>
      <c r="R19" s="62" t="s">
        <v>233</v>
      </c>
      <c r="S19" s="62" t="s">
        <v>322</v>
      </c>
      <c r="T19" s="62"/>
      <c r="U19" s="62"/>
      <c r="V19" s="10"/>
    </row>
    <row r="20" spans="1:22" ht="43.2" x14ac:dyDescent="0.25">
      <c r="A20" s="8"/>
      <c r="B20" s="53"/>
      <c r="C20" s="74">
        <f t="shared" si="0"/>
        <v>4</v>
      </c>
      <c r="D20" s="71" t="s">
        <v>68</v>
      </c>
      <c r="E20" s="102" t="s">
        <v>104</v>
      </c>
      <c r="F20" s="62" t="s">
        <v>140</v>
      </c>
      <c r="G20" s="62" t="s">
        <v>176</v>
      </c>
      <c r="H20" s="63">
        <v>3</v>
      </c>
      <c r="I20" s="63">
        <v>603</v>
      </c>
      <c r="J20" s="62" t="s">
        <v>223</v>
      </c>
      <c r="K20" s="62" t="s">
        <v>244</v>
      </c>
      <c r="L20" s="62" t="s">
        <v>274</v>
      </c>
      <c r="M20" s="62"/>
      <c r="N20" s="62" t="s">
        <v>276</v>
      </c>
      <c r="O20" s="62" t="s">
        <v>284</v>
      </c>
      <c r="P20" s="62" t="s">
        <v>225</v>
      </c>
      <c r="Q20" s="62" t="s">
        <v>301</v>
      </c>
      <c r="R20" s="62" t="s">
        <v>223</v>
      </c>
      <c r="S20" s="62" t="s">
        <v>244</v>
      </c>
      <c r="T20" s="62" t="s">
        <v>296</v>
      </c>
      <c r="U20" s="62" t="s">
        <v>337</v>
      </c>
      <c r="V20" s="10"/>
    </row>
    <row r="21" spans="1:22" ht="28.8" x14ac:dyDescent="0.25">
      <c r="A21" s="8"/>
      <c r="B21" s="53"/>
      <c r="C21" s="74">
        <f t="shared" si="0"/>
        <v>5</v>
      </c>
      <c r="D21" s="71" t="s">
        <v>69</v>
      </c>
      <c r="E21" s="88" t="s">
        <v>105</v>
      </c>
      <c r="F21" s="62" t="s">
        <v>141</v>
      </c>
      <c r="G21" s="62" t="s">
        <v>177</v>
      </c>
      <c r="H21" s="63">
        <v>1</v>
      </c>
      <c r="I21" s="63">
        <v>603</v>
      </c>
      <c r="J21" s="62" t="s">
        <v>224</v>
      </c>
      <c r="K21" s="62" t="s">
        <v>245</v>
      </c>
      <c r="L21" s="62" t="s">
        <v>274</v>
      </c>
      <c r="M21" s="62"/>
      <c r="N21" s="62" t="s">
        <v>277</v>
      </c>
      <c r="O21" s="62" t="s">
        <v>284</v>
      </c>
      <c r="P21" s="62" t="s">
        <v>223</v>
      </c>
      <c r="Q21" s="62" t="s">
        <v>302</v>
      </c>
      <c r="R21" s="62" t="s">
        <v>296</v>
      </c>
      <c r="S21" s="62" t="s">
        <v>323</v>
      </c>
      <c r="T21" s="62" t="s">
        <v>233</v>
      </c>
      <c r="U21" s="62" t="s">
        <v>338</v>
      </c>
      <c r="V21" s="10"/>
    </row>
    <row r="22" spans="1:22" ht="43.2" x14ac:dyDescent="0.25">
      <c r="A22" s="8"/>
      <c r="B22" s="53"/>
      <c r="C22" s="74">
        <f t="shared" si="0"/>
        <v>6</v>
      </c>
      <c r="D22" s="71" t="s">
        <v>70</v>
      </c>
      <c r="E22" s="102" t="s">
        <v>106</v>
      </c>
      <c r="F22" s="62" t="s">
        <v>142</v>
      </c>
      <c r="G22" s="62" t="s">
        <v>178</v>
      </c>
      <c r="H22" s="63">
        <v>2</v>
      </c>
      <c r="I22" s="63">
        <v>603</v>
      </c>
      <c r="J22" s="62" t="s">
        <v>223</v>
      </c>
      <c r="K22" s="62" t="s">
        <v>246</v>
      </c>
      <c r="L22" s="62" t="s">
        <v>274</v>
      </c>
      <c r="M22" s="62"/>
      <c r="N22" s="62" t="s">
        <v>276</v>
      </c>
      <c r="O22" s="62" t="s">
        <v>284</v>
      </c>
      <c r="P22" s="62" t="s">
        <v>225</v>
      </c>
      <c r="Q22" s="62" t="s">
        <v>303</v>
      </c>
      <c r="R22" s="62" t="s">
        <v>223</v>
      </c>
      <c r="S22" s="62" t="s">
        <v>324</v>
      </c>
      <c r="T22" s="62" t="s">
        <v>296</v>
      </c>
      <c r="U22" s="62" t="s">
        <v>339</v>
      </c>
      <c r="V22" s="10"/>
    </row>
    <row r="23" spans="1:22" ht="43.2" x14ac:dyDescent="0.25">
      <c r="A23" s="8"/>
      <c r="B23" s="53"/>
      <c r="C23" s="74">
        <f t="shared" si="0"/>
        <v>7</v>
      </c>
      <c r="D23" s="71" t="s">
        <v>71</v>
      </c>
      <c r="E23" s="71" t="s">
        <v>107</v>
      </c>
      <c r="F23" s="62" t="s">
        <v>143</v>
      </c>
      <c r="G23" s="62" t="s">
        <v>179</v>
      </c>
      <c r="H23" s="63">
        <v>2</v>
      </c>
      <c r="I23" s="63">
        <v>805</v>
      </c>
      <c r="J23" s="62" t="s">
        <v>225</v>
      </c>
      <c r="K23" s="62" t="s">
        <v>247</v>
      </c>
      <c r="L23" s="62" t="s">
        <v>274</v>
      </c>
      <c r="M23" s="62"/>
      <c r="N23" s="62" t="s">
        <v>276</v>
      </c>
      <c r="O23" s="62" t="s">
        <v>284</v>
      </c>
      <c r="P23" s="62" t="s">
        <v>222</v>
      </c>
      <c r="Q23" s="62" t="s">
        <v>304</v>
      </c>
      <c r="R23" s="62" t="s">
        <v>223</v>
      </c>
      <c r="S23" s="62" t="s">
        <v>325</v>
      </c>
      <c r="T23" s="62" t="s">
        <v>296</v>
      </c>
      <c r="U23" s="62" t="s">
        <v>340</v>
      </c>
      <c r="V23" s="10"/>
    </row>
    <row r="24" spans="1:22" ht="43.2" x14ac:dyDescent="0.25">
      <c r="A24" s="8"/>
      <c r="B24" s="53"/>
      <c r="C24" s="74">
        <f t="shared" si="0"/>
        <v>8</v>
      </c>
      <c r="D24" s="71" t="s">
        <v>72</v>
      </c>
      <c r="E24" s="102" t="s">
        <v>108</v>
      </c>
      <c r="F24" s="62" t="s">
        <v>144</v>
      </c>
      <c r="G24" s="62" t="s">
        <v>180</v>
      </c>
      <c r="H24" s="63">
        <v>1</v>
      </c>
      <c r="I24" s="63" t="s">
        <v>210</v>
      </c>
      <c r="J24" s="62" t="s">
        <v>226</v>
      </c>
      <c r="K24" s="62">
        <v>890334023015</v>
      </c>
      <c r="L24" s="62" t="s">
        <v>274</v>
      </c>
      <c r="M24" s="62"/>
      <c r="N24" s="62" t="s">
        <v>278</v>
      </c>
      <c r="O24" s="62" t="s">
        <v>285</v>
      </c>
      <c r="P24" s="62"/>
      <c r="Q24" s="62"/>
      <c r="R24" s="62"/>
      <c r="S24" s="62"/>
      <c r="T24" s="62"/>
      <c r="U24" s="62"/>
      <c r="V24" s="10"/>
    </row>
    <row r="25" spans="1:22" ht="28.8" x14ac:dyDescent="0.25">
      <c r="A25" s="8"/>
      <c r="B25" s="53"/>
      <c r="C25" s="74">
        <f t="shared" si="0"/>
        <v>9</v>
      </c>
      <c r="D25" s="71" t="s">
        <v>73</v>
      </c>
      <c r="E25" s="88" t="s">
        <v>109</v>
      </c>
      <c r="F25" s="62" t="s">
        <v>145</v>
      </c>
      <c r="G25" s="62" t="s">
        <v>181</v>
      </c>
      <c r="H25" s="63">
        <v>1</v>
      </c>
      <c r="I25" s="63" t="s">
        <v>211</v>
      </c>
      <c r="J25" s="62" t="s">
        <v>227</v>
      </c>
      <c r="K25" s="62" t="s">
        <v>248</v>
      </c>
      <c r="L25" s="62" t="s">
        <v>274</v>
      </c>
      <c r="M25" s="62"/>
      <c r="N25" s="62" t="s">
        <v>277</v>
      </c>
      <c r="O25" s="62" t="s">
        <v>284</v>
      </c>
      <c r="P25" s="62"/>
      <c r="Q25" s="62"/>
      <c r="R25" s="62"/>
      <c r="S25" s="62"/>
      <c r="T25" s="62"/>
      <c r="U25" s="62"/>
      <c r="V25" s="10"/>
    </row>
    <row r="26" spans="1:22" ht="43.2" x14ac:dyDescent="0.25">
      <c r="A26" s="8"/>
      <c r="B26" s="53"/>
      <c r="C26" s="74">
        <f t="shared" si="0"/>
        <v>10</v>
      </c>
      <c r="D26" s="71" t="s">
        <v>74</v>
      </c>
      <c r="E26" s="102" t="s">
        <v>110</v>
      </c>
      <c r="F26" s="62" t="s">
        <v>146</v>
      </c>
      <c r="G26" s="62" t="s">
        <v>182</v>
      </c>
      <c r="H26" s="63">
        <v>4</v>
      </c>
      <c r="I26" s="63" t="s">
        <v>212</v>
      </c>
      <c r="J26" s="62" t="s">
        <v>228</v>
      </c>
      <c r="K26" s="62" t="s">
        <v>249</v>
      </c>
      <c r="L26" s="62" t="s">
        <v>274</v>
      </c>
      <c r="M26" s="62"/>
      <c r="N26" s="62" t="s">
        <v>277</v>
      </c>
      <c r="O26" s="62" t="s">
        <v>286</v>
      </c>
      <c r="P26" s="62" t="s">
        <v>291</v>
      </c>
      <c r="Q26" s="62" t="s">
        <v>305</v>
      </c>
      <c r="R26" s="62"/>
      <c r="S26" s="62"/>
      <c r="T26" s="62"/>
      <c r="U26" s="62"/>
      <c r="V26" s="10"/>
    </row>
    <row r="27" spans="1:22" ht="43.2" x14ac:dyDescent="0.25">
      <c r="A27" s="8"/>
      <c r="B27" s="53"/>
      <c r="C27" s="74">
        <f t="shared" si="0"/>
        <v>11</v>
      </c>
      <c r="D27" s="71" t="s">
        <v>75</v>
      </c>
      <c r="E27" s="88" t="s">
        <v>111</v>
      </c>
      <c r="F27" s="62" t="s">
        <v>147</v>
      </c>
      <c r="G27" s="62" t="s">
        <v>183</v>
      </c>
      <c r="H27" s="63">
        <v>1</v>
      </c>
      <c r="I27" s="63" t="s">
        <v>213</v>
      </c>
      <c r="J27" s="62" t="s">
        <v>229</v>
      </c>
      <c r="K27" s="62" t="s">
        <v>250</v>
      </c>
      <c r="L27" s="62" t="s">
        <v>274</v>
      </c>
      <c r="M27" s="62"/>
      <c r="N27" s="62" t="s">
        <v>279</v>
      </c>
      <c r="O27" s="62" t="s">
        <v>286</v>
      </c>
      <c r="P27" s="62" t="s">
        <v>292</v>
      </c>
      <c r="Q27" s="62" t="s">
        <v>306</v>
      </c>
      <c r="R27" s="62" t="s">
        <v>291</v>
      </c>
      <c r="S27" s="62" t="s">
        <v>326</v>
      </c>
      <c r="T27" s="62"/>
      <c r="U27" s="62"/>
      <c r="V27" s="10"/>
    </row>
    <row r="28" spans="1:22" ht="43.2" x14ac:dyDescent="0.25">
      <c r="A28" s="8"/>
      <c r="B28" s="53"/>
      <c r="C28" s="74">
        <f t="shared" si="0"/>
        <v>12</v>
      </c>
      <c r="D28" s="71" t="s">
        <v>76</v>
      </c>
      <c r="E28" s="102" t="s">
        <v>112</v>
      </c>
      <c r="F28" s="62" t="s">
        <v>148</v>
      </c>
      <c r="G28" s="62" t="s">
        <v>184</v>
      </c>
      <c r="H28" s="63">
        <v>1</v>
      </c>
      <c r="I28" s="63" t="s">
        <v>214</v>
      </c>
      <c r="J28" s="62" t="s">
        <v>230</v>
      </c>
      <c r="K28" s="62" t="s">
        <v>251</v>
      </c>
      <c r="L28" s="62" t="s">
        <v>274</v>
      </c>
      <c r="M28" s="62"/>
      <c r="N28" s="62" t="s">
        <v>277</v>
      </c>
      <c r="O28" s="62" t="s">
        <v>286</v>
      </c>
      <c r="P28" s="62"/>
      <c r="Q28" s="62"/>
      <c r="R28" s="62"/>
      <c r="S28" s="62"/>
      <c r="T28" s="62"/>
      <c r="U28" s="62"/>
      <c r="V28" s="10"/>
    </row>
    <row r="29" spans="1:22" ht="57.6" x14ac:dyDescent="0.25">
      <c r="A29" s="8"/>
      <c r="B29" s="53"/>
      <c r="C29" s="74">
        <f t="shared" si="0"/>
        <v>13</v>
      </c>
      <c r="D29" s="71" t="s">
        <v>77</v>
      </c>
      <c r="E29" s="88" t="s">
        <v>113</v>
      </c>
      <c r="F29" s="62" t="s">
        <v>149</v>
      </c>
      <c r="G29" s="62" t="s">
        <v>185</v>
      </c>
      <c r="H29" s="63">
        <v>2</v>
      </c>
      <c r="I29" s="63" t="s">
        <v>215</v>
      </c>
      <c r="J29" s="62" t="s">
        <v>231</v>
      </c>
      <c r="K29" s="62" t="s">
        <v>252</v>
      </c>
      <c r="L29" s="62" t="s">
        <v>274</v>
      </c>
      <c r="M29" s="62"/>
      <c r="N29" s="62" t="s">
        <v>280</v>
      </c>
      <c r="O29" s="62" t="s">
        <v>284</v>
      </c>
      <c r="P29" s="62"/>
      <c r="Q29" s="62"/>
      <c r="R29" s="62"/>
      <c r="S29" s="62"/>
      <c r="T29" s="62"/>
      <c r="U29" s="62"/>
      <c r="V29" s="10"/>
    </row>
    <row r="30" spans="1:22" ht="43.2" x14ac:dyDescent="0.25">
      <c r="A30" s="8"/>
      <c r="B30" s="53"/>
      <c r="C30" s="74">
        <f t="shared" si="0"/>
        <v>14</v>
      </c>
      <c r="D30" s="71" t="s">
        <v>78</v>
      </c>
      <c r="E30" s="71" t="s">
        <v>114</v>
      </c>
      <c r="F30" s="62" t="s">
        <v>150</v>
      </c>
      <c r="G30" s="62" t="s">
        <v>186</v>
      </c>
      <c r="H30" s="63">
        <v>3</v>
      </c>
      <c r="I30" s="63" t="s">
        <v>215</v>
      </c>
      <c r="J30" s="62" t="s">
        <v>231</v>
      </c>
      <c r="K30" s="62" t="s">
        <v>253</v>
      </c>
      <c r="L30" s="62" t="s">
        <v>274</v>
      </c>
      <c r="M30" s="62"/>
      <c r="N30" s="62" t="s">
        <v>280</v>
      </c>
      <c r="O30" s="62" t="s">
        <v>284</v>
      </c>
      <c r="P30" s="62"/>
      <c r="Q30" s="62"/>
      <c r="R30" s="62"/>
      <c r="S30" s="62"/>
      <c r="T30" s="62"/>
      <c r="U30" s="62"/>
      <c r="V30" s="10"/>
    </row>
    <row r="31" spans="1:22" ht="28.8" x14ac:dyDescent="0.25">
      <c r="A31" s="8"/>
      <c r="B31" s="53"/>
      <c r="C31" s="74">
        <f t="shared" si="0"/>
        <v>15</v>
      </c>
      <c r="D31" s="71" t="s">
        <v>79</v>
      </c>
      <c r="E31" s="88" t="s">
        <v>115</v>
      </c>
      <c r="F31" s="62" t="s">
        <v>151</v>
      </c>
      <c r="G31" s="62" t="s">
        <v>187</v>
      </c>
      <c r="H31" s="63">
        <v>2</v>
      </c>
      <c r="I31" s="63" t="s">
        <v>216</v>
      </c>
      <c r="J31" s="62" t="s">
        <v>232</v>
      </c>
      <c r="K31" s="62" t="s">
        <v>254</v>
      </c>
      <c r="L31" s="62" t="s">
        <v>274</v>
      </c>
      <c r="M31" s="62"/>
      <c r="N31" s="62" t="s">
        <v>276</v>
      </c>
      <c r="O31" s="62" t="s">
        <v>285</v>
      </c>
      <c r="P31" s="62"/>
      <c r="Q31" s="62"/>
      <c r="R31" s="62"/>
      <c r="S31" s="62"/>
      <c r="T31" s="62"/>
      <c r="U31" s="62"/>
      <c r="V31" s="10"/>
    </row>
    <row r="32" spans="1:22" ht="72" x14ac:dyDescent="0.25">
      <c r="A32" s="8"/>
      <c r="B32" s="53"/>
      <c r="C32" s="74">
        <f t="shared" si="0"/>
        <v>16</v>
      </c>
      <c r="D32" s="71" t="s">
        <v>80</v>
      </c>
      <c r="E32" s="102" t="s">
        <v>116</v>
      </c>
      <c r="F32" s="62" t="s">
        <v>152</v>
      </c>
      <c r="G32" s="62" t="s">
        <v>188</v>
      </c>
      <c r="H32" s="63">
        <v>1</v>
      </c>
      <c r="I32" s="63" t="s">
        <v>217</v>
      </c>
      <c r="J32" s="62" t="s">
        <v>228</v>
      </c>
      <c r="K32" s="62" t="s">
        <v>255</v>
      </c>
      <c r="L32" s="62" t="s">
        <v>274</v>
      </c>
      <c r="M32" s="62"/>
      <c r="N32" s="62" t="s">
        <v>276</v>
      </c>
      <c r="O32" s="62" t="s">
        <v>285</v>
      </c>
      <c r="P32" s="62"/>
      <c r="Q32" s="62"/>
      <c r="R32" s="62"/>
      <c r="S32" s="62"/>
      <c r="T32" s="62"/>
      <c r="U32" s="62"/>
      <c r="V32" s="10"/>
    </row>
    <row r="33" spans="1:22" ht="43.2" x14ac:dyDescent="0.25">
      <c r="A33" s="8"/>
      <c r="B33" s="53"/>
      <c r="C33" s="74">
        <f t="shared" si="0"/>
        <v>17</v>
      </c>
      <c r="D33" s="71" t="s">
        <v>81</v>
      </c>
      <c r="E33" s="71" t="s">
        <v>117</v>
      </c>
      <c r="F33" s="62" t="s">
        <v>153</v>
      </c>
      <c r="G33" s="62" t="s">
        <v>189</v>
      </c>
      <c r="H33" s="63">
        <v>1</v>
      </c>
      <c r="I33" s="63">
        <v>603</v>
      </c>
      <c r="J33" s="62" t="s">
        <v>233</v>
      </c>
      <c r="K33" s="62" t="s">
        <v>256</v>
      </c>
      <c r="L33" s="62" t="s">
        <v>274</v>
      </c>
      <c r="M33" s="62"/>
      <c r="N33" s="62" t="s">
        <v>276</v>
      </c>
      <c r="O33" s="62" t="s">
        <v>284</v>
      </c>
      <c r="P33" s="62" t="s">
        <v>293</v>
      </c>
      <c r="Q33" s="62" t="s">
        <v>307</v>
      </c>
      <c r="R33" s="62" t="s">
        <v>318</v>
      </c>
      <c r="S33" s="62" t="s">
        <v>327</v>
      </c>
      <c r="T33" s="62"/>
      <c r="U33" s="62"/>
      <c r="V33" s="10"/>
    </row>
    <row r="34" spans="1:22" ht="43.2" x14ac:dyDescent="0.25">
      <c r="A34" s="8"/>
      <c r="B34" s="53"/>
      <c r="C34" s="74">
        <f t="shared" si="0"/>
        <v>18</v>
      </c>
      <c r="D34" s="71" t="s">
        <v>82</v>
      </c>
      <c r="E34" s="102" t="s">
        <v>118</v>
      </c>
      <c r="F34" s="62" t="s">
        <v>154</v>
      </c>
      <c r="G34" s="62" t="s">
        <v>190</v>
      </c>
      <c r="H34" s="63">
        <v>2</v>
      </c>
      <c r="I34" s="63"/>
      <c r="J34" s="62" t="s">
        <v>234</v>
      </c>
      <c r="K34" s="62" t="s">
        <v>257</v>
      </c>
      <c r="L34" s="62" t="s">
        <v>274</v>
      </c>
      <c r="M34" s="62"/>
      <c r="N34" s="62" t="s">
        <v>276</v>
      </c>
      <c r="O34" s="62" t="s">
        <v>284</v>
      </c>
      <c r="P34" s="62"/>
      <c r="Q34" s="62"/>
      <c r="R34" s="62"/>
      <c r="S34" s="62"/>
      <c r="T34" s="62"/>
      <c r="U34" s="62"/>
      <c r="V34" s="10"/>
    </row>
    <row r="35" spans="1:22" ht="43.2" x14ac:dyDescent="0.25">
      <c r="A35" s="8"/>
      <c r="B35" s="53"/>
      <c r="C35" s="74">
        <f t="shared" si="0"/>
        <v>19</v>
      </c>
      <c r="D35" s="71" t="s">
        <v>83</v>
      </c>
      <c r="E35" s="88" t="s">
        <v>119</v>
      </c>
      <c r="F35" s="62" t="s">
        <v>155</v>
      </c>
      <c r="G35" s="62" t="s">
        <v>191</v>
      </c>
      <c r="H35" s="63">
        <v>1</v>
      </c>
      <c r="I35" s="63"/>
      <c r="J35" s="62" t="s">
        <v>234</v>
      </c>
      <c r="K35" s="62" t="s">
        <v>258</v>
      </c>
      <c r="L35" s="62" t="s">
        <v>274</v>
      </c>
      <c r="M35" s="62"/>
      <c r="N35" s="62" t="s">
        <v>276</v>
      </c>
      <c r="O35" s="62" t="s">
        <v>284</v>
      </c>
      <c r="P35" s="62"/>
      <c r="Q35" s="62"/>
      <c r="R35" s="62"/>
      <c r="S35" s="62"/>
      <c r="T35" s="62"/>
      <c r="U35" s="62"/>
      <c r="V35" s="10"/>
    </row>
    <row r="36" spans="1:22" ht="43.2" x14ac:dyDescent="0.25">
      <c r="A36" s="8"/>
      <c r="B36" s="53"/>
      <c r="C36" s="74">
        <f t="shared" si="0"/>
        <v>20</v>
      </c>
      <c r="D36" s="71" t="s">
        <v>84</v>
      </c>
      <c r="E36" s="62" t="s">
        <v>120</v>
      </c>
      <c r="F36" s="62" t="s">
        <v>156</v>
      </c>
      <c r="G36" s="62" t="s">
        <v>192</v>
      </c>
      <c r="H36" s="63">
        <v>2</v>
      </c>
      <c r="I36" s="63"/>
      <c r="J36" s="62" t="s">
        <v>235</v>
      </c>
      <c r="K36" s="62">
        <v>1534627</v>
      </c>
      <c r="L36" s="62" t="s">
        <v>274</v>
      </c>
      <c r="M36" s="62"/>
      <c r="N36" s="62" t="s">
        <v>281</v>
      </c>
      <c r="O36" s="62" t="s">
        <v>287</v>
      </c>
      <c r="P36" s="62"/>
      <c r="Q36" s="62"/>
      <c r="R36" s="62"/>
      <c r="S36" s="62"/>
      <c r="T36" s="62"/>
      <c r="U36" s="62"/>
      <c r="V36" s="10"/>
    </row>
    <row r="37" spans="1:22" ht="28.8" x14ac:dyDescent="0.25">
      <c r="A37" s="8"/>
      <c r="B37" s="53"/>
      <c r="C37" s="74">
        <f t="shared" si="0"/>
        <v>21</v>
      </c>
      <c r="D37" s="71" t="s">
        <v>85</v>
      </c>
      <c r="E37" s="71" t="s">
        <v>121</v>
      </c>
      <c r="F37" s="62" t="s">
        <v>157</v>
      </c>
      <c r="G37" s="62" t="s">
        <v>193</v>
      </c>
      <c r="H37" s="63">
        <v>4</v>
      </c>
      <c r="I37" s="63"/>
      <c r="J37" s="62" t="s">
        <v>236</v>
      </c>
      <c r="K37" s="62" t="s">
        <v>259</v>
      </c>
      <c r="L37" s="62" t="s">
        <v>274</v>
      </c>
      <c r="M37" s="62"/>
      <c r="N37" s="62"/>
      <c r="O37" s="62"/>
      <c r="P37" s="62"/>
      <c r="Q37" s="62"/>
      <c r="R37" s="62"/>
      <c r="S37" s="62"/>
      <c r="T37" s="62"/>
      <c r="U37" s="62"/>
      <c r="V37" s="10"/>
    </row>
    <row r="38" spans="1:22" ht="43.2" x14ac:dyDescent="0.25">
      <c r="A38" s="8"/>
      <c r="B38" s="53"/>
      <c r="C38" s="74">
        <f t="shared" si="0"/>
        <v>22</v>
      </c>
      <c r="D38" s="71" t="s">
        <v>86</v>
      </c>
      <c r="E38" s="102" t="s">
        <v>122</v>
      </c>
      <c r="F38" s="62" t="s">
        <v>158</v>
      </c>
      <c r="G38" s="62" t="s">
        <v>194</v>
      </c>
      <c r="H38" s="63">
        <v>1</v>
      </c>
      <c r="I38" s="63" t="s">
        <v>218</v>
      </c>
      <c r="J38" s="62" t="s">
        <v>237</v>
      </c>
      <c r="K38" s="62" t="s">
        <v>260</v>
      </c>
      <c r="L38" s="62" t="s">
        <v>274</v>
      </c>
      <c r="M38" s="62"/>
      <c r="N38" s="62" t="s">
        <v>281</v>
      </c>
      <c r="O38" s="62" t="s">
        <v>288</v>
      </c>
      <c r="P38" s="62"/>
      <c r="Q38" s="62"/>
      <c r="R38" s="62"/>
      <c r="S38" s="62"/>
      <c r="T38" s="62"/>
      <c r="U38" s="62"/>
      <c r="V38" s="10"/>
    </row>
    <row r="39" spans="1:22" ht="28.8" x14ac:dyDescent="0.25">
      <c r="A39" s="8"/>
      <c r="B39" s="53"/>
      <c r="C39" s="74">
        <f t="shared" si="0"/>
        <v>23</v>
      </c>
      <c r="D39" s="71" t="s">
        <v>87</v>
      </c>
      <c r="E39" s="88" t="s">
        <v>123</v>
      </c>
      <c r="F39" s="62" t="s">
        <v>159</v>
      </c>
      <c r="G39" s="62" t="s">
        <v>195</v>
      </c>
      <c r="H39" s="63">
        <v>1</v>
      </c>
      <c r="I39" s="6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10"/>
    </row>
    <row r="40" spans="1:22" ht="43.2" x14ac:dyDescent="0.25">
      <c r="A40" s="8"/>
      <c r="B40" s="53"/>
      <c r="C40" s="74">
        <f t="shared" si="0"/>
        <v>24</v>
      </c>
      <c r="D40" s="71" t="s">
        <v>88</v>
      </c>
      <c r="E40" s="102" t="s">
        <v>124</v>
      </c>
      <c r="F40" s="62" t="s">
        <v>160</v>
      </c>
      <c r="G40" s="62" t="s">
        <v>196</v>
      </c>
      <c r="H40" s="63">
        <v>1</v>
      </c>
      <c r="I40" s="63" t="s">
        <v>214</v>
      </c>
      <c r="J40" s="62" t="s">
        <v>230</v>
      </c>
      <c r="K40" s="62" t="s">
        <v>261</v>
      </c>
      <c r="L40" s="62" t="s">
        <v>274</v>
      </c>
      <c r="M40" s="62"/>
      <c r="N40" s="62" t="s">
        <v>277</v>
      </c>
      <c r="O40" s="62" t="s">
        <v>284</v>
      </c>
      <c r="P40" s="62" t="s">
        <v>292</v>
      </c>
      <c r="Q40" s="62" t="s">
        <v>308</v>
      </c>
      <c r="R40" s="62"/>
      <c r="S40" s="62"/>
      <c r="T40" s="62"/>
      <c r="U40" s="62"/>
      <c r="V40" s="10"/>
    </row>
    <row r="41" spans="1:22" ht="28.8" x14ac:dyDescent="0.25">
      <c r="A41" s="8"/>
      <c r="B41" s="53"/>
      <c r="C41" s="74">
        <f t="shared" si="0"/>
        <v>25</v>
      </c>
      <c r="D41" s="71" t="s">
        <v>89</v>
      </c>
      <c r="E41" s="88" t="s">
        <v>125</v>
      </c>
      <c r="F41" s="62" t="s">
        <v>161</v>
      </c>
      <c r="G41" s="62" t="s">
        <v>197</v>
      </c>
      <c r="H41" s="63">
        <v>1</v>
      </c>
      <c r="I41" s="63">
        <v>603</v>
      </c>
      <c r="J41" s="62" t="s">
        <v>223</v>
      </c>
      <c r="K41" s="62" t="s">
        <v>262</v>
      </c>
      <c r="L41" s="62" t="s">
        <v>274</v>
      </c>
      <c r="M41" s="62"/>
      <c r="N41" s="62" t="s">
        <v>282</v>
      </c>
      <c r="O41" s="62" t="s">
        <v>284</v>
      </c>
      <c r="P41" s="62" t="s">
        <v>294</v>
      </c>
      <c r="Q41" s="62" t="s">
        <v>309</v>
      </c>
      <c r="R41" s="62" t="s">
        <v>223</v>
      </c>
      <c r="S41" s="62" t="s">
        <v>262</v>
      </c>
      <c r="T41" s="62"/>
      <c r="U41" s="62"/>
      <c r="V41" s="10"/>
    </row>
    <row r="42" spans="1:22" ht="28.8" x14ac:dyDescent="0.25">
      <c r="A42" s="8"/>
      <c r="B42" s="53"/>
      <c r="C42" s="74">
        <f t="shared" si="0"/>
        <v>26</v>
      </c>
      <c r="D42" s="71" t="s">
        <v>90</v>
      </c>
      <c r="E42" s="102" t="s">
        <v>126</v>
      </c>
      <c r="F42" s="62" t="s">
        <v>162</v>
      </c>
      <c r="G42" s="62" t="s">
        <v>198</v>
      </c>
      <c r="H42" s="63">
        <v>1</v>
      </c>
      <c r="I42" s="63">
        <v>603</v>
      </c>
      <c r="J42" s="62" t="s">
        <v>223</v>
      </c>
      <c r="K42" s="62" t="s">
        <v>263</v>
      </c>
      <c r="L42" s="62" t="s">
        <v>274</v>
      </c>
      <c r="M42" s="62"/>
      <c r="N42" s="62" t="s">
        <v>282</v>
      </c>
      <c r="O42" s="62" t="s">
        <v>284</v>
      </c>
      <c r="P42" s="62" t="s">
        <v>295</v>
      </c>
      <c r="Q42" s="62" t="s">
        <v>310</v>
      </c>
      <c r="R42" s="62" t="s">
        <v>294</v>
      </c>
      <c r="S42" s="62" t="s">
        <v>328</v>
      </c>
      <c r="T42" s="62" t="s">
        <v>296</v>
      </c>
      <c r="U42" s="62" t="s">
        <v>341</v>
      </c>
      <c r="V42" s="10"/>
    </row>
    <row r="43" spans="1:22" ht="28.8" x14ac:dyDescent="0.25">
      <c r="A43" s="8"/>
      <c r="B43" s="53"/>
      <c r="C43" s="74">
        <f t="shared" si="0"/>
        <v>27</v>
      </c>
      <c r="D43" s="71" t="s">
        <v>91</v>
      </c>
      <c r="E43" s="88" t="s">
        <v>127</v>
      </c>
      <c r="F43" s="62" t="s">
        <v>163</v>
      </c>
      <c r="G43" s="62" t="s">
        <v>199</v>
      </c>
      <c r="H43" s="63">
        <v>1</v>
      </c>
      <c r="I43" s="63">
        <v>603</v>
      </c>
      <c r="J43" s="62" t="s">
        <v>223</v>
      </c>
      <c r="K43" s="62" t="s">
        <v>264</v>
      </c>
      <c r="L43" s="62" t="s">
        <v>274</v>
      </c>
      <c r="M43" s="62"/>
      <c r="N43" s="62" t="s">
        <v>282</v>
      </c>
      <c r="O43" s="62" t="s">
        <v>284</v>
      </c>
      <c r="P43" s="62" t="s">
        <v>295</v>
      </c>
      <c r="Q43" s="62" t="s">
        <v>311</v>
      </c>
      <c r="R43" s="62" t="s">
        <v>294</v>
      </c>
      <c r="S43" s="62" t="s">
        <v>329</v>
      </c>
      <c r="T43" s="62" t="s">
        <v>296</v>
      </c>
      <c r="U43" s="62" t="s">
        <v>342</v>
      </c>
      <c r="V43" s="10"/>
    </row>
    <row r="44" spans="1:22" ht="28.8" x14ac:dyDescent="0.25">
      <c r="A44" s="8"/>
      <c r="B44" s="53"/>
      <c r="C44" s="74">
        <f t="shared" si="0"/>
        <v>28</v>
      </c>
      <c r="D44" s="71" t="s">
        <v>92</v>
      </c>
      <c r="E44" s="102" t="s">
        <v>128</v>
      </c>
      <c r="F44" s="62" t="s">
        <v>164</v>
      </c>
      <c r="G44" s="62" t="s">
        <v>200</v>
      </c>
      <c r="H44" s="63">
        <v>10</v>
      </c>
      <c r="I44" s="63">
        <v>603</v>
      </c>
      <c r="J44" s="62" t="s">
        <v>223</v>
      </c>
      <c r="K44" s="62" t="s">
        <v>265</v>
      </c>
      <c r="L44" s="62" t="s">
        <v>274</v>
      </c>
      <c r="M44" s="62"/>
      <c r="N44" s="62" t="s">
        <v>282</v>
      </c>
      <c r="O44" s="62" t="s">
        <v>284</v>
      </c>
      <c r="P44" s="62" t="s">
        <v>294</v>
      </c>
      <c r="Q44" s="62" t="s">
        <v>312</v>
      </c>
      <c r="R44" s="62" t="s">
        <v>296</v>
      </c>
      <c r="S44" s="62" t="s">
        <v>330</v>
      </c>
      <c r="T44" s="62" t="s">
        <v>223</v>
      </c>
      <c r="U44" s="62" t="s">
        <v>265</v>
      </c>
      <c r="V44" s="10"/>
    </row>
    <row r="45" spans="1:22" ht="28.8" x14ac:dyDescent="0.25">
      <c r="A45" s="8"/>
      <c r="B45" s="53"/>
      <c r="C45" s="74">
        <f t="shared" si="0"/>
        <v>29</v>
      </c>
      <c r="D45" s="71" t="s">
        <v>93</v>
      </c>
      <c r="E45" s="88" t="s">
        <v>129</v>
      </c>
      <c r="F45" s="62" t="s">
        <v>165</v>
      </c>
      <c r="G45" s="62" t="s">
        <v>201</v>
      </c>
      <c r="H45" s="63">
        <v>2</v>
      </c>
      <c r="I45" s="63">
        <v>1206</v>
      </c>
      <c r="J45" s="62" t="s">
        <v>223</v>
      </c>
      <c r="K45" s="62" t="s">
        <v>266</v>
      </c>
      <c r="L45" s="62" t="s">
        <v>274</v>
      </c>
      <c r="M45" s="62"/>
      <c r="N45" s="62" t="s">
        <v>282</v>
      </c>
      <c r="O45" s="62" t="s">
        <v>284</v>
      </c>
      <c r="P45" s="62" t="s">
        <v>294</v>
      </c>
      <c r="Q45" s="62" t="s">
        <v>313</v>
      </c>
      <c r="R45" s="62" t="s">
        <v>296</v>
      </c>
      <c r="S45" s="62" t="s">
        <v>331</v>
      </c>
      <c r="T45" s="62" t="s">
        <v>223</v>
      </c>
      <c r="U45" s="62" t="s">
        <v>266</v>
      </c>
      <c r="V45" s="10"/>
    </row>
    <row r="46" spans="1:22" ht="28.8" x14ac:dyDescent="0.25">
      <c r="A46" s="8"/>
      <c r="B46" s="53"/>
      <c r="C46" s="74">
        <f t="shared" si="0"/>
        <v>30</v>
      </c>
      <c r="D46" s="71" t="s">
        <v>94</v>
      </c>
      <c r="E46" s="102" t="s">
        <v>130</v>
      </c>
      <c r="F46" s="62" t="s">
        <v>166</v>
      </c>
      <c r="G46" s="62" t="s">
        <v>202</v>
      </c>
      <c r="H46" s="63">
        <v>2</v>
      </c>
      <c r="I46" s="63">
        <v>1206</v>
      </c>
      <c r="J46" s="62" t="s">
        <v>223</v>
      </c>
      <c r="K46" s="62" t="s">
        <v>267</v>
      </c>
      <c r="L46" s="62" t="s">
        <v>274</v>
      </c>
      <c r="M46" s="62"/>
      <c r="N46" s="62" t="s">
        <v>282</v>
      </c>
      <c r="O46" s="62" t="s">
        <v>284</v>
      </c>
      <c r="P46" s="62" t="s">
        <v>296</v>
      </c>
      <c r="Q46" s="62" t="s">
        <v>314</v>
      </c>
      <c r="R46" s="62" t="s">
        <v>223</v>
      </c>
      <c r="S46" s="62" t="s">
        <v>267</v>
      </c>
      <c r="T46" s="62"/>
      <c r="U46" s="62"/>
      <c r="V46" s="10"/>
    </row>
    <row r="47" spans="1:22" ht="28.8" x14ac:dyDescent="0.25">
      <c r="A47" s="8"/>
      <c r="B47" s="53"/>
      <c r="C47" s="74">
        <f t="shared" si="0"/>
        <v>31</v>
      </c>
      <c r="D47" s="71" t="s">
        <v>95</v>
      </c>
      <c r="E47" s="88" t="s">
        <v>131</v>
      </c>
      <c r="F47" s="62" t="s">
        <v>167</v>
      </c>
      <c r="G47" s="62" t="s">
        <v>203</v>
      </c>
      <c r="H47" s="63">
        <v>2</v>
      </c>
      <c r="I47" s="63">
        <v>603</v>
      </c>
      <c r="J47" s="62" t="s">
        <v>223</v>
      </c>
      <c r="K47" s="62" t="s">
        <v>268</v>
      </c>
      <c r="L47" s="62" t="s">
        <v>274</v>
      </c>
      <c r="M47" s="62"/>
      <c r="N47" s="62" t="s">
        <v>282</v>
      </c>
      <c r="O47" s="62" t="s">
        <v>284</v>
      </c>
      <c r="P47" s="62" t="s">
        <v>295</v>
      </c>
      <c r="Q47" s="62" t="s">
        <v>315</v>
      </c>
      <c r="R47" s="62" t="s">
        <v>294</v>
      </c>
      <c r="S47" s="62" t="s">
        <v>332</v>
      </c>
      <c r="T47" s="62" t="s">
        <v>296</v>
      </c>
      <c r="U47" s="62" t="s">
        <v>343</v>
      </c>
      <c r="V47" s="10"/>
    </row>
    <row r="48" spans="1:22" ht="14.4" x14ac:dyDescent="0.25">
      <c r="A48" s="8"/>
      <c r="B48" s="53"/>
      <c r="C48" s="74">
        <f t="shared" si="0"/>
        <v>32</v>
      </c>
      <c r="D48" s="71" t="s">
        <v>96</v>
      </c>
      <c r="E48" s="102" t="s">
        <v>132</v>
      </c>
      <c r="F48" s="62" t="s">
        <v>168</v>
      </c>
      <c r="G48" s="62" t="s">
        <v>204</v>
      </c>
      <c r="H48" s="63">
        <v>1</v>
      </c>
      <c r="I48" s="63">
        <v>1206</v>
      </c>
      <c r="J48" s="62" t="s">
        <v>223</v>
      </c>
      <c r="K48" s="62" t="s">
        <v>269</v>
      </c>
      <c r="L48" s="62" t="s">
        <v>274</v>
      </c>
      <c r="M48" s="62"/>
      <c r="N48" s="62" t="s">
        <v>282</v>
      </c>
      <c r="O48" s="62" t="s">
        <v>284</v>
      </c>
      <c r="P48" s="62"/>
      <c r="Q48" s="62"/>
      <c r="R48" s="62"/>
      <c r="S48" s="62"/>
      <c r="T48" s="62"/>
      <c r="U48" s="62"/>
      <c r="V48" s="10"/>
    </row>
    <row r="49" spans="1:22" ht="28.8" x14ac:dyDescent="0.25">
      <c r="A49" s="8"/>
      <c r="B49" s="53"/>
      <c r="C49" s="74">
        <f t="shared" si="0"/>
        <v>33</v>
      </c>
      <c r="D49" s="71" t="s">
        <v>97</v>
      </c>
      <c r="E49" s="88" t="s">
        <v>133</v>
      </c>
      <c r="F49" s="62" t="s">
        <v>169</v>
      </c>
      <c r="G49" s="62" t="s">
        <v>205</v>
      </c>
      <c r="H49" s="63">
        <v>1</v>
      </c>
      <c r="I49" s="63">
        <v>603</v>
      </c>
      <c r="J49" s="62" t="s">
        <v>238</v>
      </c>
      <c r="K49" s="62" t="s">
        <v>270</v>
      </c>
      <c r="L49" s="62" t="s">
        <v>274</v>
      </c>
      <c r="M49" s="62"/>
      <c r="N49" s="62" t="s">
        <v>282</v>
      </c>
      <c r="O49" s="62" t="s">
        <v>284</v>
      </c>
      <c r="P49" s="62" t="s">
        <v>294</v>
      </c>
      <c r="Q49" s="62" t="s">
        <v>316</v>
      </c>
      <c r="R49" s="62" t="s">
        <v>296</v>
      </c>
      <c r="S49" s="62" t="s">
        <v>333</v>
      </c>
      <c r="T49" s="62" t="s">
        <v>223</v>
      </c>
      <c r="U49" s="62" t="s">
        <v>344</v>
      </c>
      <c r="V49" s="10"/>
    </row>
    <row r="50" spans="1:22" ht="72" x14ac:dyDescent="0.25">
      <c r="A50" s="8"/>
      <c r="B50" s="53"/>
      <c r="C50" s="74">
        <f t="shared" si="0"/>
        <v>34</v>
      </c>
      <c r="D50" s="71" t="s">
        <v>98</v>
      </c>
      <c r="E50" s="102" t="s">
        <v>134</v>
      </c>
      <c r="F50" s="62" t="s">
        <v>170</v>
      </c>
      <c r="G50" s="62" t="s">
        <v>206</v>
      </c>
      <c r="H50" s="63">
        <v>2</v>
      </c>
      <c r="I50" s="63" t="s">
        <v>219</v>
      </c>
      <c r="J50" s="62" t="s">
        <v>238</v>
      </c>
      <c r="K50" s="62" t="s">
        <v>271</v>
      </c>
      <c r="L50" s="62" t="s">
        <v>274</v>
      </c>
      <c r="M50" s="62"/>
      <c r="N50" s="62" t="s">
        <v>281</v>
      </c>
      <c r="O50" s="62" t="s">
        <v>289</v>
      </c>
      <c r="P50" s="62"/>
      <c r="Q50" s="62"/>
      <c r="R50" s="62"/>
      <c r="S50" s="62"/>
      <c r="T50" s="62"/>
      <c r="U50" s="62"/>
      <c r="V50" s="10"/>
    </row>
    <row r="51" spans="1:22" ht="72" x14ac:dyDescent="0.25">
      <c r="A51" s="8"/>
      <c r="B51" s="53"/>
      <c r="C51" s="74">
        <f t="shared" si="0"/>
        <v>35</v>
      </c>
      <c r="D51" s="71" t="s">
        <v>99</v>
      </c>
      <c r="E51" s="88" t="s">
        <v>135</v>
      </c>
      <c r="F51" s="62" t="s">
        <v>171</v>
      </c>
      <c r="G51" s="62" t="s">
        <v>207</v>
      </c>
      <c r="H51" s="63">
        <v>1</v>
      </c>
      <c r="I51" s="63" t="s">
        <v>220</v>
      </c>
      <c r="J51" s="62" t="s">
        <v>239</v>
      </c>
      <c r="K51" s="62" t="s">
        <v>272</v>
      </c>
      <c r="L51" s="62" t="s">
        <v>274</v>
      </c>
      <c r="M51" s="62"/>
      <c r="N51" s="62" t="s">
        <v>281</v>
      </c>
      <c r="O51" s="62" t="s">
        <v>285</v>
      </c>
      <c r="P51" s="62"/>
      <c r="Q51" s="62"/>
      <c r="R51" s="62"/>
      <c r="S51" s="62"/>
      <c r="T51" s="62"/>
      <c r="U51" s="62"/>
      <c r="V51" s="10"/>
    </row>
    <row r="52" spans="1:22" s="9" customFormat="1" ht="13.65" customHeight="1" x14ac:dyDescent="0.3">
      <c r="A52" s="16"/>
      <c r="B52" s="55"/>
      <c r="C52" s="37"/>
      <c r="D52" s="34" t="s">
        <v>27</v>
      </c>
      <c r="E52" s="18"/>
      <c r="F52" s="18"/>
      <c r="G52" s="18"/>
      <c r="H52" s="34"/>
      <c r="I52" s="34"/>
      <c r="J52" s="35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19" t="s">
        <v>2</v>
      </c>
    </row>
    <row r="53" spans="1:22" s="9" customFormat="1" ht="20.100000000000001" customHeight="1" x14ac:dyDescent="0.3">
      <c r="A53" s="16"/>
      <c r="B53" s="55"/>
      <c r="C53" s="37"/>
      <c r="D53" s="89" t="s">
        <v>28</v>
      </c>
      <c r="E53" s="89"/>
      <c r="F53" s="89"/>
      <c r="G53" s="89"/>
      <c r="H53" s="20"/>
      <c r="I53" s="20"/>
      <c r="J53" s="48"/>
      <c r="V53" s="21"/>
    </row>
    <row r="54" spans="1:22" s="9" customFormat="1" ht="20.100000000000001" customHeight="1" x14ac:dyDescent="0.3">
      <c r="A54" s="16"/>
      <c r="B54" s="55"/>
      <c r="C54" s="37"/>
      <c r="D54" s="90" t="s">
        <v>47</v>
      </c>
      <c r="E54" s="90"/>
      <c r="F54" s="90"/>
      <c r="G54" s="90"/>
      <c r="H54" s="22"/>
      <c r="I54" s="22"/>
      <c r="J54" s="49"/>
      <c r="V54" s="21"/>
    </row>
    <row r="55" spans="1:22" s="9" customFormat="1" ht="20.100000000000001" customHeight="1" x14ac:dyDescent="0.3">
      <c r="A55" s="16"/>
      <c r="B55" s="55"/>
      <c r="C55" s="37"/>
      <c r="D55" s="45" t="s">
        <v>30</v>
      </c>
      <c r="E55" s="45"/>
      <c r="F55" s="45"/>
      <c r="G55" s="45"/>
      <c r="H55" s="22"/>
      <c r="I55" s="22"/>
      <c r="J55" s="49"/>
      <c r="V55" s="21"/>
    </row>
    <row r="56" spans="1:22" s="9" customFormat="1" ht="20.100000000000001" customHeight="1" x14ac:dyDescent="0.3">
      <c r="A56" s="16"/>
      <c r="B56" s="55"/>
      <c r="C56" s="37"/>
      <c r="D56" s="90" t="s">
        <v>29</v>
      </c>
      <c r="E56" s="90"/>
      <c r="F56" s="90"/>
      <c r="G56" s="90"/>
      <c r="H56" s="22"/>
      <c r="I56" s="22"/>
      <c r="J56" s="50"/>
      <c r="K56" s="51"/>
      <c r="V56" s="21"/>
    </row>
    <row r="57" spans="1:22" s="9" customFormat="1" ht="12.9" customHeight="1" thickBot="1" x14ac:dyDescent="0.35">
      <c r="A57" s="16"/>
      <c r="B57" s="55"/>
      <c r="C57" s="76"/>
      <c r="D57" s="61"/>
      <c r="E57" s="61"/>
      <c r="F57" s="57"/>
      <c r="G57" s="57"/>
      <c r="H57" s="57"/>
      <c r="I57" s="57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21"/>
    </row>
    <row r="58" spans="1:22" s="9" customFormat="1" ht="12.9" customHeight="1" thickTop="1" x14ac:dyDescent="0.3">
      <c r="A58" s="16"/>
      <c r="B58" s="17"/>
      <c r="C58" s="17"/>
      <c r="D58" s="23"/>
      <c r="E58" s="23"/>
      <c r="F58" s="24"/>
      <c r="G58" s="24"/>
      <c r="H58" s="24"/>
      <c r="I58" s="24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1"/>
    </row>
    <row r="59" spans="1:22" s="9" customFormat="1" ht="12.9" customHeight="1" thickBot="1" x14ac:dyDescent="0.35">
      <c r="A59" s="26"/>
      <c r="B59" s="27"/>
      <c r="C59" s="27"/>
      <c r="D59" s="28"/>
      <c r="E59" s="28"/>
      <c r="F59" s="29"/>
      <c r="G59" s="29"/>
      <c r="H59" s="29"/>
      <c r="I59" s="29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1"/>
    </row>
    <row r="62" spans="1:22" x14ac:dyDescent="0.3">
      <c r="D62" s="33"/>
      <c r="E62" s="33"/>
    </row>
    <row r="63" spans="1:22" x14ac:dyDescent="0.3">
      <c r="D63" s="33"/>
      <c r="E63" s="33"/>
    </row>
    <row r="64" spans="1:22" x14ac:dyDescent="0.3">
      <c r="D64" s="33"/>
      <c r="E64" s="33"/>
    </row>
    <row r="65" spans="4:5" x14ac:dyDescent="0.3">
      <c r="D65" s="33"/>
      <c r="E65" s="33"/>
    </row>
    <row r="66" spans="4:5" x14ac:dyDescent="0.3">
      <c r="D66" s="33"/>
      <c r="E66" s="33"/>
    </row>
    <row r="67" spans="4:5" x14ac:dyDescent="0.3">
      <c r="D67" s="33"/>
      <c r="E67" s="33"/>
    </row>
    <row r="68" spans="4:5" x14ac:dyDescent="0.3">
      <c r="E68" s="33"/>
    </row>
    <row r="69" spans="4:5" x14ac:dyDescent="0.3">
      <c r="E69" s="33"/>
    </row>
    <row r="70" spans="4:5" x14ac:dyDescent="0.3">
      <c r="E70" s="33"/>
    </row>
  </sheetData>
  <mergeCells count="5">
    <mergeCell ref="D53:G53"/>
    <mergeCell ref="D54:G54"/>
    <mergeCell ref="D56:G56"/>
    <mergeCell ref="G2:H2"/>
    <mergeCell ref="D2:F2"/>
  </mergeCells>
  <phoneticPr fontId="0" type="noConversion"/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topLeftCell="A7" workbookViewId="0">
      <selection activeCell="D32" sqref="D32"/>
    </sheetView>
  </sheetViews>
  <sheetFormatPr defaultRowHeight="13.2" x14ac:dyDescent="0.25"/>
  <cols>
    <col min="1" max="1" width="15.109375" style="1" bestFit="1" customWidth="1"/>
    <col min="2" max="2" width="19.109375" style="1" bestFit="1" customWidth="1"/>
    <col min="3" max="3" width="25.33203125" style="1" bestFit="1" customWidth="1"/>
    <col min="4" max="4" width="24.109375" bestFit="1" customWidth="1"/>
    <col min="5" max="5" width="20.44140625" bestFit="1" customWidth="1"/>
    <col min="6" max="6" width="20.109375" bestFit="1" customWidth="1"/>
    <col min="7" max="7" width="18.6640625" bestFit="1" customWidth="1"/>
    <col min="8" max="8" width="24.33203125" bestFit="1" customWidth="1"/>
  </cols>
  <sheetData>
    <row r="1" spans="1:8" ht="15.6" x14ac:dyDescent="0.25">
      <c r="A1" s="99" t="s">
        <v>31</v>
      </c>
      <c r="B1" s="99"/>
      <c r="C1" s="99"/>
    </row>
    <row r="2" spans="1:8" s="2" customFormat="1" ht="17.25" customHeight="1" x14ac:dyDescent="0.25">
      <c r="A2" s="101" t="s">
        <v>6</v>
      </c>
      <c r="B2" s="101"/>
      <c r="C2" s="101"/>
      <c r="D2" s="96" t="s">
        <v>345</v>
      </c>
      <c r="E2" s="97"/>
      <c r="F2" s="97"/>
      <c r="G2" s="97"/>
      <c r="H2" s="97"/>
    </row>
    <row r="3" spans="1:8" s="2" customFormat="1" ht="17.25" customHeight="1" x14ac:dyDescent="0.25">
      <c r="A3" s="98" t="s">
        <v>8</v>
      </c>
      <c r="B3" s="98"/>
      <c r="C3" s="98"/>
      <c r="D3" s="94" t="s">
        <v>53</v>
      </c>
      <c r="E3" s="95"/>
      <c r="F3" s="95"/>
      <c r="G3" s="95"/>
      <c r="H3" s="95"/>
    </row>
    <row r="4" spans="1:8" s="2" customFormat="1" ht="17.25" customHeight="1" x14ac:dyDescent="0.25">
      <c r="A4" s="101" t="s">
        <v>7</v>
      </c>
      <c r="B4" s="101"/>
      <c r="C4" s="101"/>
      <c r="D4" s="96" t="s">
        <v>54</v>
      </c>
      <c r="E4" s="97"/>
      <c r="F4" s="97"/>
      <c r="G4" s="97"/>
      <c r="H4" s="97"/>
    </row>
    <row r="5" spans="1:8" s="2" customFormat="1" ht="17.25" customHeight="1" x14ac:dyDescent="0.25">
      <c r="A5" s="98" t="s">
        <v>9</v>
      </c>
      <c r="B5" s="98"/>
      <c r="C5" s="98"/>
      <c r="D5" s="94" t="s">
        <v>52</v>
      </c>
      <c r="E5" s="95"/>
      <c r="F5" s="95"/>
      <c r="G5" s="95"/>
      <c r="H5" s="95"/>
    </row>
    <row r="6" spans="1:8" s="2" customFormat="1" ht="17.25" customHeight="1" x14ac:dyDescent="0.25">
      <c r="A6" s="101" t="s">
        <v>10</v>
      </c>
      <c r="B6" s="101"/>
      <c r="C6" s="101"/>
      <c r="D6" s="96" t="s">
        <v>346</v>
      </c>
      <c r="E6" s="97"/>
      <c r="F6" s="97"/>
      <c r="G6" s="97"/>
      <c r="H6" s="97"/>
    </row>
    <row r="7" spans="1:8" s="2" customFormat="1" ht="17.25" customHeight="1" x14ac:dyDescent="0.25">
      <c r="A7" s="98" t="s">
        <v>5</v>
      </c>
      <c r="B7" s="98"/>
      <c r="C7" s="98"/>
      <c r="D7" s="94" t="s">
        <v>347</v>
      </c>
      <c r="E7" s="95"/>
      <c r="F7" s="95"/>
      <c r="G7" s="95"/>
      <c r="H7" s="95"/>
    </row>
    <row r="8" spans="1:8" s="2" customFormat="1" ht="17.25" customHeight="1" x14ac:dyDescent="0.25">
      <c r="A8" s="101" t="s">
        <v>11</v>
      </c>
      <c r="B8" s="101"/>
      <c r="C8" s="101"/>
      <c r="D8" s="96" t="s">
        <v>348</v>
      </c>
      <c r="E8" s="97"/>
      <c r="F8" s="97"/>
      <c r="G8" s="97"/>
      <c r="H8" s="97"/>
    </row>
    <row r="9" spans="1:8" s="2" customFormat="1" ht="17.25" customHeight="1" x14ac:dyDescent="0.25">
      <c r="A9" s="98" t="s">
        <v>12</v>
      </c>
      <c r="B9" s="98"/>
      <c r="C9" s="98"/>
      <c r="D9" s="94" t="s">
        <v>59</v>
      </c>
      <c r="E9" s="95"/>
      <c r="F9" s="95"/>
      <c r="G9" s="95"/>
      <c r="H9" s="95"/>
    </row>
    <row r="10" spans="1:8" s="2" customFormat="1" ht="17.25" customHeight="1" x14ac:dyDescent="0.25">
      <c r="A10" s="101" t="s">
        <v>13</v>
      </c>
      <c r="B10" s="101"/>
      <c r="C10" s="101"/>
      <c r="D10" s="96" t="s">
        <v>58</v>
      </c>
      <c r="E10" s="97"/>
      <c r="F10" s="97"/>
      <c r="G10" s="97"/>
      <c r="H10" s="97"/>
    </row>
    <row r="11" spans="1:8" s="2" customFormat="1" ht="17.25" customHeight="1" x14ac:dyDescent="0.25">
      <c r="A11" s="98" t="s">
        <v>15</v>
      </c>
      <c r="B11" s="98"/>
      <c r="C11" s="98"/>
      <c r="D11" s="94" t="s">
        <v>349</v>
      </c>
      <c r="E11" s="95"/>
      <c r="F11" s="95"/>
      <c r="G11" s="95"/>
      <c r="H11" s="95"/>
    </row>
    <row r="12" spans="1:8" s="2" customFormat="1" ht="17.25" customHeight="1" x14ac:dyDescent="0.25">
      <c r="A12" s="101" t="s">
        <v>14</v>
      </c>
      <c r="B12" s="101"/>
      <c r="C12" s="101"/>
      <c r="D12" s="96" t="s">
        <v>350</v>
      </c>
      <c r="E12" s="97"/>
      <c r="F12" s="97"/>
      <c r="G12" s="97"/>
      <c r="H12" s="97"/>
    </row>
    <row r="13" spans="1:8" s="2" customFormat="1" ht="17.25" customHeight="1" x14ac:dyDescent="0.25">
      <c r="A13" s="98" t="s">
        <v>16</v>
      </c>
      <c r="B13" s="98"/>
      <c r="C13" s="98"/>
      <c r="D13" s="94" t="s">
        <v>351</v>
      </c>
      <c r="E13" s="95"/>
      <c r="F13" s="95"/>
      <c r="G13" s="95"/>
      <c r="H13" s="95"/>
    </row>
    <row r="14" spans="1:8" s="2" customFormat="1" ht="17.25" customHeight="1" x14ac:dyDescent="0.25">
      <c r="A14" s="101" t="s">
        <v>17</v>
      </c>
      <c r="B14" s="101"/>
      <c r="C14" s="101"/>
      <c r="D14" s="96" t="s">
        <v>352</v>
      </c>
      <c r="E14" s="97"/>
      <c r="F14" s="97"/>
      <c r="G14" s="97"/>
      <c r="H14" s="97"/>
    </row>
    <row r="15" spans="1:8" s="2" customFormat="1" ht="17.25" customHeight="1" x14ac:dyDescent="0.25">
      <c r="A15" s="98" t="s">
        <v>18</v>
      </c>
      <c r="B15" s="98"/>
      <c r="C15" s="98"/>
      <c r="D15" s="94" t="s">
        <v>350</v>
      </c>
      <c r="E15" s="95"/>
      <c r="F15" s="95"/>
      <c r="G15" s="95"/>
      <c r="H15" s="95"/>
    </row>
    <row r="18" spans="1:9" ht="15.6" x14ac:dyDescent="0.25">
      <c r="A18" s="100" t="s">
        <v>33</v>
      </c>
      <c r="B18" s="100"/>
      <c r="C18" s="100"/>
      <c r="D18" s="66" t="s">
        <v>41</v>
      </c>
    </row>
    <row r="19" spans="1:9" x14ac:dyDescent="0.25">
      <c r="A19" s="65" t="s">
        <v>32</v>
      </c>
      <c r="B19" s="65" t="s">
        <v>34</v>
      </c>
      <c r="C19" s="65" t="s">
        <v>35</v>
      </c>
      <c r="D19" s="65" t="s">
        <v>38</v>
      </c>
      <c r="E19" s="65" t="s">
        <v>39</v>
      </c>
      <c r="F19" s="65" t="s">
        <v>40</v>
      </c>
      <c r="G19" s="65" t="s">
        <v>36</v>
      </c>
      <c r="H19" s="65" t="s">
        <v>37</v>
      </c>
    </row>
    <row r="20" spans="1:9" x14ac:dyDescent="0.25">
      <c r="A20" s="85" t="s">
        <v>353</v>
      </c>
      <c r="B20" s="85" t="s">
        <v>354</v>
      </c>
      <c r="C20" s="85" t="s">
        <v>355</v>
      </c>
      <c r="D20" s="86" t="s">
        <v>356</v>
      </c>
      <c r="E20" s="86" t="s">
        <v>357</v>
      </c>
      <c r="F20" s="86" t="s">
        <v>358</v>
      </c>
      <c r="G20" s="86" t="s">
        <v>358</v>
      </c>
      <c r="H20" s="86" t="s">
        <v>354</v>
      </c>
      <c r="I20" s="64"/>
    </row>
    <row r="21" spans="1:9" x14ac:dyDescent="0.25">
      <c r="A21" s="85" t="s">
        <v>359</v>
      </c>
      <c r="B21" s="85" t="s">
        <v>360</v>
      </c>
      <c r="C21" s="85" t="s">
        <v>361</v>
      </c>
      <c r="D21" s="86" t="s">
        <v>356</v>
      </c>
      <c r="E21" s="86" t="s">
        <v>357</v>
      </c>
      <c r="F21" s="86" t="s">
        <v>358</v>
      </c>
      <c r="G21" s="86" t="s">
        <v>358</v>
      </c>
      <c r="H21" s="86" t="s">
        <v>362</v>
      </c>
      <c r="I21" s="64"/>
    </row>
    <row r="22" spans="1:9" x14ac:dyDescent="0.25">
      <c r="A22" s="85" t="s">
        <v>363</v>
      </c>
      <c r="B22" s="85" t="s">
        <v>364</v>
      </c>
      <c r="C22" s="85" t="s">
        <v>365</v>
      </c>
      <c r="D22" s="86" t="s">
        <v>356</v>
      </c>
      <c r="E22" s="86" t="s">
        <v>357</v>
      </c>
      <c r="F22" s="86" t="s">
        <v>358</v>
      </c>
      <c r="G22" s="86" t="s">
        <v>358</v>
      </c>
      <c r="H22" s="86" t="s">
        <v>362</v>
      </c>
      <c r="I22" s="64"/>
    </row>
    <row r="24" spans="1:9" x14ac:dyDescent="0.25">
      <c r="A24" s="68" t="s">
        <v>42</v>
      </c>
      <c r="B24" s="87" t="s">
        <v>56</v>
      </c>
      <c r="D24" s="1"/>
      <c r="E24" s="1"/>
      <c r="F24" s="1"/>
      <c r="G24" s="1"/>
      <c r="H24" s="1"/>
      <c r="I24" s="1"/>
    </row>
    <row r="25" spans="1:9" x14ac:dyDescent="0.25">
      <c r="A25" s="68" t="s">
        <v>43</v>
      </c>
      <c r="B25" s="87" t="s">
        <v>51</v>
      </c>
      <c r="D25" s="1"/>
      <c r="E25" s="1"/>
      <c r="F25" s="1"/>
      <c r="G25" s="1"/>
      <c r="H25" s="1"/>
      <c r="I25" s="1"/>
    </row>
    <row r="26" spans="1:9" x14ac:dyDescent="0.25">
      <c r="A26" s="68" t="s">
        <v>44</v>
      </c>
      <c r="B26" s="87" t="s">
        <v>366</v>
      </c>
      <c r="D26" s="1"/>
      <c r="E26" s="1"/>
      <c r="F26" s="1"/>
      <c r="G26" s="1"/>
      <c r="H26" s="1"/>
      <c r="I26" s="1"/>
    </row>
    <row r="27" spans="1:9" x14ac:dyDescent="0.25">
      <c r="A27" s="68" t="s">
        <v>44</v>
      </c>
      <c r="B27" s="87" t="s">
        <v>55</v>
      </c>
      <c r="D27" s="1"/>
      <c r="E27" s="1"/>
      <c r="F27" s="1"/>
      <c r="G27" s="1"/>
      <c r="H27" s="1"/>
      <c r="I27" s="1"/>
    </row>
    <row r="28" spans="1:9" x14ac:dyDescent="0.25">
      <c r="A28" s="68" t="s">
        <v>45</v>
      </c>
      <c r="B28" s="87" t="s">
        <v>366</v>
      </c>
      <c r="D28" s="1"/>
      <c r="E28" s="1"/>
      <c r="F28" s="1"/>
      <c r="G28" s="1"/>
      <c r="H28" s="1"/>
      <c r="I28" s="1"/>
    </row>
    <row r="29" spans="1:9" x14ac:dyDescent="0.25">
      <c r="A29" s="68" t="s">
        <v>45</v>
      </c>
      <c r="B29" s="87" t="s">
        <v>55</v>
      </c>
      <c r="D29" s="1"/>
      <c r="E29" s="1"/>
      <c r="F29" s="1"/>
      <c r="G29" s="1"/>
      <c r="H29" s="1"/>
      <c r="I29" s="1"/>
    </row>
    <row r="30" spans="1:9" x14ac:dyDescent="0.25">
      <c r="A30" s="68" t="s">
        <v>46</v>
      </c>
      <c r="B30" s="87" t="s">
        <v>366</v>
      </c>
      <c r="D30" s="1"/>
      <c r="E30" s="1"/>
      <c r="F30" s="1"/>
      <c r="G30" s="1"/>
      <c r="H30" s="1"/>
      <c r="I30" s="1"/>
    </row>
    <row r="31" spans="1:9" x14ac:dyDescent="0.25">
      <c r="A31" s="68" t="s">
        <v>46</v>
      </c>
      <c r="B31" s="87" t="s">
        <v>55</v>
      </c>
      <c r="D31" s="1"/>
      <c r="E31" s="1"/>
      <c r="F31" s="1"/>
      <c r="G31" s="1"/>
      <c r="H31" s="1"/>
      <c r="I31" s="1"/>
    </row>
    <row r="32" spans="1:9" x14ac:dyDescent="0.25">
      <c r="B32" s="67"/>
      <c r="D32" s="1"/>
      <c r="E32" s="1"/>
      <c r="F32" s="1"/>
      <c r="G32" s="1"/>
      <c r="H32" s="1"/>
      <c r="I32" s="1"/>
    </row>
    <row r="33" spans="1:9" x14ac:dyDescent="0.25">
      <c r="B33" s="67"/>
      <c r="D33" s="1"/>
      <c r="E33" s="1"/>
      <c r="F33" s="1"/>
      <c r="G33" s="1"/>
      <c r="H33" s="1"/>
      <c r="I33" s="1"/>
    </row>
    <row r="34" spans="1:9" x14ac:dyDescent="0.25">
      <c r="B34" s="67"/>
      <c r="D34" s="1"/>
      <c r="E34" s="1"/>
      <c r="F34" s="1"/>
      <c r="G34" s="1"/>
      <c r="H34" s="1"/>
      <c r="I34" s="1"/>
    </row>
    <row r="35" spans="1:9" x14ac:dyDescent="0.25">
      <c r="D35" s="1"/>
      <c r="E35" s="1"/>
      <c r="F35" s="1"/>
      <c r="G35" s="1"/>
      <c r="H35" s="1"/>
      <c r="I35" s="1"/>
    </row>
    <row r="43" spans="1:9" x14ac:dyDescent="0.25">
      <c r="A43"/>
      <c r="B43"/>
      <c r="C43"/>
    </row>
    <row r="44" spans="1:9" x14ac:dyDescent="0.25">
      <c r="A44"/>
      <c r="B44"/>
      <c r="C44"/>
    </row>
    <row r="45" spans="1:9" x14ac:dyDescent="0.25">
      <c r="A45"/>
      <c r="B45"/>
      <c r="C45"/>
    </row>
    <row r="46" spans="1:9" x14ac:dyDescent="0.25">
      <c r="A46"/>
      <c r="B46"/>
      <c r="C46"/>
    </row>
    <row r="47" spans="1:9" x14ac:dyDescent="0.25">
      <c r="A47"/>
      <c r="B47"/>
      <c r="C47"/>
    </row>
    <row r="48" spans="1:9" x14ac:dyDescent="0.25">
      <c r="A48"/>
      <c r="B48"/>
      <c r="C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mergeCells count="30">
    <mergeCell ref="A7:C7"/>
    <mergeCell ref="A15:C15"/>
    <mergeCell ref="A1:C1"/>
    <mergeCell ref="A18:C18"/>
    <mergeCell ref="A8:C8"/>
    <mergeCell ref="A9:C9"/>
    <mergeCell ref="A10:C10"/>
    <mergeCell ref="A12:C12"/>
    <mergeCell ref="A13:C13"/>
    <mergeCell ref="A14:C14"/>
    <mergeCell ref="A11:C11"/>
    <mergeCell ref="A2:C2"/>
    <mergeCell ref="A3:C3"/>
    <mergeCell ref="A4:C4"/>
    <mergeCell ref="A5:C5"/>
    <mergeCell ref="A6:C6"/>
    <mergeCell ref="D2:H2"/>
    <mergeCell ref="D3:H3"/>
    <mergeCell ref="D5:H5"/>
    <mergeCell ref="D7:H7"/>
    <mergeCell ref="D9:H9"/>
    <mergeCell ref="D11:H11"/>
    <mergeCell ref="D13:H13"/>
    <mergeCell ref="D15:H15"/>
    <mergeCell ref="D4:H4"/>
    <mergeCell ref="D6:H6"/>
    <mergeCell ref="D8:H8"/>
    <mergeCell ref="D10:H10"/>
    <mergeCell ref="D12:H12"/>
    <mergeCell ref="D14:H14"/>
  </mergeCells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6B945321BED74F9C3FC5E7503DE5D0" ma:contentTypeVersion="13" ma:contentTypeDescription="Create a new document." ma:contentTypeScope="" ma:versionID="bd3ecf99f94b364f8b7e8dbed2afc572">
  <xsd:schema xmlns:xsd="http://www.w3.org/2001/XMLSchema" xmlns:xs="http://www.w3.org/2001/XMLSchema" xmlns:p="http://schemas.microsoft.com/office/2006/metadata/properties" xmlns:ns3="e8e6ebaf-13a9-4e31-97f2-e9020b3ebc6a" xmlns:ns4="af03ccee-6d2c-483c-a962-6a5804652c2f" targetNamespace="http://schemas.microsoft.com/office/2006/metadata/properties" ma:root="true" ma:fieldsID="c40747632868e2c7c7745760d87e8a7e" ns3:_="" ns4:_="">
    <xsd:import namespace="e8e6ebaf-13a9-4e31-97f2-e9020b3ebc6a"/>
    <xsd:import namespace="af03ccee-6d2c-483c-a962-6a5804652c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ebaf-13a9-4e31-97f2-e9020b3eb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3ccee-6d2c-483c-a962-6a5804652c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60320C-3EB2-4A52-B350-64F89FF2E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6ebaf-13a9-4e31-97f2-e9020b3ebc6a"/>
    <ds:schemaRef ds:uri="af03ccee-6d2c-483c-a962-6a5804652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81ACEA-5003-45CF-9B2F-439FEE4D79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82D60-5E75-45F1-B114-3EB9C98D73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Hofer, David</dc:creator>
  <cp:lastModifiedBy>Shelke, Anjali [EMR/DISC/DAUT/PUNE]</cp:lastModifiedBy>
  <cp:lastPrinted>2002-11-05T13:50:54Z</cp:lastPrinted>
  <dcterms:created xsi:type="dcterms:W3CDTF">2000-10-27T00:30:29Z</dcterms:created>
  <dcterms:modified xsi:type="dcterms:W3CDTF">2025-06-12T19:36:36Z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0x010100946B945321BED74F9C3FC5E7503DE5D0</vt:lpwstr>
  </property>
  <property fmtid="{D5CDD505-2E9C-101B-9397-08002B2CF9AE}" pid="3" name="MSIP_Label_d38901aa-f724-46bf-bb4f-aef09392934b_Enabled">
    <vt:lpwstr>true</vt:lpwstr>
  </property>
  <property fmtid="{D5CDD505-2E9C-101B-9397-08002B2CF9AE}" pid="4" name="MSIP_Label_d38901aa-f724-46bf-bb4f-aef09392934b_SetDate">
    <vt:lpwstr>2022-12-15T15:53:01Z</vt:lpwstr>
  </property>
  <property fmtid="{D5CDD505-2E9C-101B-9397-08002B2CF9AE}" pid="5" name="MSIP_Label_d38901aa-f724-46bf-bb4f-aef09392934b_Method">
    <vt:lpwstr>Standard</vt:lpwstr>
  </property>
  <property fmtid="{D5CDD505-2E9C-101B-9397-08002B2CF9AE}" pid="6" name="MSIP_Label_d38901aa-f724-46bf-bb4f-aef09392934b_Name">
    <vt:lpwstr>Internal - No Label</vt:lpwstr>
  </property>
  <property fmtid="{D5CDD505-2E9C-101B-9397-08002B2CF9AE}" pid="7" name="MSIP_Label_d38901aa-f724-46bf-bb4f-aef09392934b_SiteId">
    <vt:lpwstr>eb06985d-06ca-4a17-81da-629ab99f6505</vt:lpwstr>
  </property>
  <property fmtid="{D5CDD505-2E9C-101B-9397-08002B2CF9AE}" pid="8" name="MSIP_Label_d38901aa-f724-46bf-bb4f-aef09392934b_ActionId">
    <vt:lpwstr>df7c5a5c-8cea-4f26-9a5f-c2b8427d15d9</vt:lpwstr>
  </property>
  <property fmtid="{D5CDD505-2E9C-101B-9397-08002B2CF9AE}" pid="9" name="MSIP_Label_d38901aa-f724-46bf-bb4f-aef09392934b_ContentBits">
    <vt:lpwstr>0</vt:lpwstr>
  </property>
</Properties>
</file>